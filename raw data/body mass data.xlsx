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8299\Desktop\my papers\plesiosaur phylogeny\github upload\"/>
    </mc:Choice>
  </mc:AlternateContent>
  <xr:revisionPtr revIDLastSave="0" documentId="13_ncr:1_{EB2295A7-1D48-45F5-A9D1-48AD0F2AEE2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trunk" sheetId="4" r:id="rId1"/>
    <sheet name="vertebrae" sheetId="3" r:id="rId2"/>
    <sheet name="model" sheetId="2" r:id="rId3"/>
    <sheet name="limbs &amp; girdles" sheetId="6" r:id="rId4"/>
    <sheet name="skull-neck" sheetId="10" r:id="rId5"/>
    <sheet name="other thalassophoneans" sheetId="9" r:id="rId6"/>
    <sheet name="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6" l="1"/>
  <c r="Q11" i="6"/>
  <c r="X11" i="6" s="1"/>
  <c r="P11" i="6"/>
  <c r="W12" i="6" l="1"/>
  <c r="V12" i="6"/>
  <c r="X12" i="6" s="1"/>
  <c r="U12" i="6"/>
  <c r="T12" i="6"/>
  <c r="S12" i="6"/>
  <c r="R12" i="6"/>
  <c r="Q12" i="6"/>
  <c r="P12" i="6"/>
  <c r="O12" i="6"/>
  <c r="N12" i="6"/>
  <c r="F3" i="10" l="1"/>
  <c r="F2" i="10"/>
  <c r="W4" i="6"/>
  <c r="W6" i="6"/>
  <c r="W7" i="6"/>
  <c r="W9" i="6"/>
  <c r="V4" i="6"/>
  <c r="V6" i="6"/>
  <c r="V7" i="6"/>
  <c r="V9" i="6"/>
  <c r="U4" i="6"/>
  <c r="U6" i="6"/>
  <c r="U7" i="6"/>
  <c r="U9" i="6"/>
  <c r="U10" i="6"/>
  <c r="T4" i="6"/>
  <c r="T6" i="6"/>
  <c r="T7" i="6"/>
  <c r="T9" i="6"/>
  <c r="T10" i="6"/>
  <c r="S4" i="6"/>
  <c r="S6" i="6"/>
  <c r="S7" i="6"/>
  <c r="S9" i="6"/>
  <c r="S10" i="6"/>
  <c r="R4" i="6"/>
  <c r="R6" i="6"/>
  <c r="R7" i="6"/>
  <c r="R10" i="6"/>
  <c r="Q3" i="6"/>
  <c r="Q4" i="6"/>
  <c r="Q5" i="6"/>
  <c r="Q6" i="6"/>
  <c r="Q7" i="6"/>
  <c r="Q8" i="6"/>
  <c r="Q10" i="6"/>
  <c r="Q2" i="6"/>
  <c r="P3" i="6"/>
  <c r="P4" i="6"/>
  <c r="P5" i="6"/>
  <c r="P6" i="6"/>
  <c r="P7" i="6"/>
  <c r="P8" i="6"/>
  <c r="P10" i="6"/>
  <c r="P2" i="6"/>
  <c r="O3" i="6"/>
  <c r="O4" i="6"/>
  <c r="O5" i="6"/>
  <c r="O6" i="6"/>
  <c r="O7" i="6"/>
  <c r="O8" i="6"/>
  <c r="O9" i="6"/>
  <c r="O10" i="6"/>
  <c r="O2" i="6"/>
  <c r="N3" i="6"/>
  <c r="N4" i="6"/>
  <c r="N5" i="6"/>
  <c r="N6" i="6"/>
  <c r="N7" i="6"/>
  <c r="N8" i="6"/>
  <c r="X8" i="6" s="1"/>
  <c r="N9" i="6"/>
  <c r="X9" i="6" s="1"/>
  <c r="N10" i="6"/>
  <c r="X10" i="6" s="1"/>
  <c r="N2" i="6"/>
  <c r="H6" i="9"/>
  <c r="H3" i="9"/>
  <c r="H4" i="9"/>
  <c r="H5" i="9"/>
  <c r="H2" i="9"/>
  <c r="E20" i="4"/>
  <c r="E25" i="4"/>
  <c r="X6" i="6" l="1"/>
  <c r="X5" i="6"/>
  <c r="X7" i="6"/>
  <c r="X2" i="6"/>
  <c r="X4" i="6"/>
  <c r="X3" i="6"/>
  <c r="G28" i="3"/>
  <c r="G26" i="3"/>
  <c r="G27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1" i="4"/>
  <c r="E22" i="4"/>
  <c r="E23" i="4"/>
  <c r="E24" i="4"/>
  <c r="E2" i="4"/>
</calcChain>
</file>

<file path=xl/sharedStrings.xml><?xml version="1.0" encoding="utf-8"?>
<sst xmlns="http://schemas.openxmlformats.org/spreadsheetml/2006/main" count="674" uniqueCount="380">
  <si>
    <t>Macroplata_tenuiceps</t>
  </si>
  <si>
    <t>Avalonnectes_arturi</t>
  </si>
  <si>
    <t>Eurycleidus_arcuatus</t>
  </si>
  <si>
    <t>Meyerasaurus_victor</t>
  </si>
  <si>
    <t>Thaumatodracon_wiedenrothi</t>
  </si>
  <si>
    <t>Atychodracon_megacephalus</t>
  </si>
  <si>
    <t>Archaeonectrus_rostratus</t>
  </si>
  <si>
    <t>Rhomaleosaurus_cramptoni</t>
  </si>
  <si>
    <t>Rhomaleosaurus_zetlandicus</t>
  </si>
  <si>
    <t>Rhomaleosaurus_thorntoni</t>
  </si>
  <si>
    <t>Thalassiodracon_hawkinsii</t>
  </si>
  <si>
    <t>Hauffiosaurus_longirostris</t>
  </si>
  <si>
    <t>Hauffiosaurus_zanoni</t>
  </si>
  <si>
    <t>Marmornectes_candrewi</t>
  </si>
  <si>
    <t>Peloneustes_philarchus</t>
  </si>
  <si>
    <t>Simolestes_vorax</t>
  </si>
  <si>
    <t>Pliosaurus_funkei</t>
  </si>
  <si>
    <t>Pliosaurus_irgisensis</t>
  </si>
  <si>
    <t>Pliosaurus_andrewsi</t>
  </si>
  <si>
    <t>Luskhan_itilensis</t>
  </si>
  <si>
    <t>Makhaira_rossica</t>
  </si>
  <si>
    <t>Lindwurmia_thiuda</t>
  </si>
  <si>
    <t>Liopleurodon_ferox</t>
  </si>
  <si>
    <t>Kronosaurus_MCZ_1285</t>
  </si>
  <si>
    <t>Brachauchenius_lucasi</t>
  </si>
  <si>
    <t>Brachauchenius_MNA_V9433</t>
  </si>
  <si>
    <t>Sachicasaurus_vitae</t>
  </si>
  <si>
    <t>Attenborosaurus_conybeari</t>
  </si>
  <si>
    <t>Plesiosaurus_dolichodeirus</t>
  </si>
  <si>
    <t>Eretmosaurus_rugosus</t>
  </si>
  <si>
    <t>Seeleyosaurus_guilelmiimperatoris</t>
  </si>
  <si>
    <t>Microcleidus_tournemirensis</t>
  </si>
  <si>
    <t>Microcleidus_brachypterygius</t>
  </si>
  <si>
    <t>Microcleidus_homalospondylus</t>
  </si>
  <si>
    <t>Plesiopterys_wildi</t>
  </si>
  <si>
    <t>Cryptoclidus_eurymerus</t>
  </si>
  <si>
    <t>Tricleidus_seeleyi</t>
  </si>
  <si>
    <t>Muraenosaurus_leedsii</t>
  </si>
  <si>
    <t>Pantosaurus_striatus</t>
  </si>
  <si>
    <t>Picrocleidus_beloclis</t>
  </si>
  <si>
    <t>Tatenectes_laramiensis</t>
  </si>
  <si>
    <t>Plesiosaurus_mansellii</t>
  </si>
  <si>
    <t>Colymbosaurus_megadeirus</t>
  </si>
  <si>
    <t>Ophthalmothule_cryostea</t>
  </si>
  <si>
    <t>Abyssosaurus_nataliae</t>
  </si>
  <si>
    <t>Leptocleidus_capensis</t>
  </si>
  <si>
    <t>Leptocleidus_superstes</t>
  </si>
  <si>
    <t>Gronausaurus_wegneri</t>
  </si>
  <si>
    <t>Edgarosaurus_muddi</t>
  </si>
  <si>
    <t>Palmulasaurus_quadratus</t>
  </si>
  <si>
    <t>Polycotylus_latipinnis</t>
  </si>
  <si>
    <t>Thililua_longicollis</t>
  </si>
  <si>
    <t>Trinacromerum_bentonianum</t>
  </si>
  <si>
    <t>Dolichorhynchops_osborni</t>
  </si>
  <si>
    <t>Dolichorhynchops_bonneri</t>
  </si>
  <si>
    <t>Dolichorhynchops_tropicensis</t>
  </si>
  <si>
    <t>Dolichorhynchops_herschelensis</t>
  </si>
  <si>
    <t>Pahasapasaurus_haasi</t>
  </si>
  <si>
    <t>Wapuskanectes_betsynichollsae</t>
  </si>
  <si>
    <t>Elasmosaurus_platyurus</t>
  </si>
  <si>
    <t>Terminonatator_ponteixensis</t>
  </si>
  <si>
    <t>Libonectes_morgani</t>
  </si>
  <si>
    <t>Kaiwhekea_katiki</t>
  </si>
  <si>
    <t>Aristonectes_quiriquinensis</t>
  </si>
  <si>
    <t>Albertonectes_vanderveldei</t>
  </si>
  <si>
    <t>Kawanectes_lafquenianum</t>
  </si>
  <si>
    <t>Vegasaurus_molyi</t>
  </si>
  <si>
    <t>Morenosaurus_stocki</t>
  </si>
  <si>
    <t>Hydrotherosaurus_alexandrae</t>
  </si>
  <si>
    <t>Aphrosaurus_furlongi</t>
  </si>
  <si>
    <t>Futabasaurus_suzukii</t>
  </si>
  <si>
    <t>Callawayasaurus_colombiensis</t>
  </si>
  <si>
    <t>Fluvionectes_sagecrensis</t>
  </si>
  <si>
    <t>Cardiocorax_mukulu</t>
  </si>
  <si>
    <t>Jucha_squalea</t>
  </si>
  <si>
    <t>Thalassomedon_haningtoni</t>
  </si>
  <si>
    <t>Nakonanectes_bradti</t>
  </si>
  <si>
    <t>Styxosaurus_rezaci</t>
  </si>
  <si>
    <t>Styxosaurus_SDSM_451</t>
  </si>
  <si>
    <t>Styxosaurus_browni</t>
  </si>
  <si>
    <t>Traskasaura_sandrae</t>
  </si>
  <si>
    <t>taxon</t>
    <phoneticPr fontId="1" type="noConversion"/>
  </si>
  <si>
    <t>trunk</t>
    <phoneticPr fontId="1" type="noConversion"/>
  </si>
  <si>
    <t>mass</t>
    <phoneticPr fontId="1" type="noConversion"/>
  </si>
  <si>
    <t>NHMUK PV R5488</t>
  </si>
  <si>
    <t>catalogue number</t>
    <phoneticPr fontId="1" type="noConversion"/>
  </si>
  <si>
    <t>SMNS 12478</t>
  </si>
  <si>
    <t>Zhao, 2026</t>
    <phoneticPr fontId="1" type="noConversion"/>
  </si>
  <si>
    <t>GPIT-RE-3182</t>
  </si>
  <si>
    <t>PMO 214.135</t>
  </si>
  <si>
    <t>MCZ 1285</t>
    <phoneticPr fontId="1" type="noConversion"/>
  </si>
  <si>
    <t>MP111209-1</t>
  </si>
  <si>
    <t>SMNS 12039</t>
  </si>
  <si>
    <t>MMM J. T. 86-100</t>
  </si>
  <si>
    <t>MH 7</t>
    <phoneticPr fontId="1" type="noConversion"/>
  </si>
  <si>
    <t>NHMUK PV R2860</t>
  </si>
  <si>
    <t>MChEIO PM/1</t>
  </si>
  <si>
    <t>YPM 1125</t>
  </si>
  <si>
    <t>FHSM VP404</t>
  </si>
  <si>
    <t>KUVP 40002</t>
  </si>
  <si>
    <t>SGO.PV.957</t>
  </si>
  <si>
    <t>TMP 2007.011.0001</t>
  </si>
  <si>
    <t>MLP 93-I-5-1</t>
  </si>
  <si>
    <t>UCMP 33912</t>
  </si>
  <si>
    <t>DMNH 1588</t>
  </si>
  <si>
    <t>SDSM 451</t>
    <phoneticPr fontId="1" type="noConversion"/>
  </si>
  <si>
    <t>Stenorhynchosaurus_munozi</t>
    <phoneticPr fontId="1" type="noConversion"/>
  </si>
  <si>
    <t>references</t>
    <phoneticPr fontId="1" type="noConversion"/>
  </si>
  <si>
    <t>NHMUK PV OR 38525</t>
  </si>
  <si>
    <t>NHMUK PV R1338, R1339</t>
    <phoneticPr fontId="1" type="noConversion"/>
  </si>
  <si>
    <t>Owen, 1865</t>
    <phoneticPr fontId="1" type="noConversion"/>
  </si>
  <si>
    <t>Benson et al, 2012</t>
    <phoneticPr fontId="1" type="noConversion"/>
  </si>
  <si>
    <t>LEICS.G221.1851</t>
    <phoneticPr fontId="1" type="noConversion"/>
  </si>
  <si>
    <t>Smith, 2007</t>
    <phoneticPr fontId="1" type="noConversion"/>
  </si>
  <si>
    <t>NHMUK PV OR 14550</t>
    <phoneticPr fontId="1" type="noConversion"/>
  </si>
  <si>
    <t>USNM 4989</t>
    <phoneticPr fontId="1" type="noConversion"/>
  </si>
  <si>
    <t>UCMP 38349</t>
    <phoneticPr fontId="1" type="noConversion"/>
  </si>
  <si>
    <t>CAMSM J.29596etc</t>
  </si>
  <si>
    <t>Benson &amp; Bowdler, 2014</t>
    <phoneticPr fontId="1" type="noConversion"/>
  </si>
  <si>
    <t>RSM P2310.1.</t>
  </si>
  <si>
    <t>Eoplesiosaurus_antiquior</t>
  </si>
  <si>
    <t>TTNCM 8348</t>
  </si>
  <si>
    <t>Eopolycotylus_rankini</t>
    <phoneticPr fontId="1" type="noConversion"/>
  </si>
  <si>
    <t>MNA V9445</t>
  </si>
  <si>
    <t>Albright III et al, 2010</t>
    <phoneticPr fontId="1" type="noConversion"/>
  </si>
  <si>
    <t>Sato, 2005</t>
    <phoneticPr fontId="1" type="noConversion"/>
  </si>
  <si>
    <t>NHMUK PV OR 14435</t>
    <phoneticPr fontId="1" type="noConversion"/>
  </si>
  <si>
    <t>TMP 2009.037.0068/1990.046.0001/.0002</t>
  </si>
  <si>
    <t>Campbell et al, 2021</t>
    <phoneticPr fontId="1" type="noConversion"/>
  </si>
  <si>
    <t>NSM PV15025</t>
  </si>
  <si>
    <t>Sato et al, 2006</t>
    <phoneticPr fontId="1" type="noConversion"/>
  </si>
  <si>
    <t>MCZ 1033</t>
    <phoneticPr fontId="1" type="noConversion"/>
  </si>
  <si>
    <t>Hauf 7</t>
    <phoneticPr fontId="1" type="noConversion"/>
  </si>
  <si>
    <t>UPM 2756/1-53</t>
  </si>
  <si>
    <t>Fischer et al, 2021</t>
    <phoneticPr fontId="1" type="noConversion"/>
  </si>
  <si>
    <t>OU 12649</t>
  </si>
  <si>
    <t>Cruickshank &amp; Fordyce, 2002</t>
    <phoneticPr fontId="1" type="noConversion"/>
  </si>
  <si>
    <t>NHMUK PV R4828</t>
  </si>
  <si>
    <t>Kear &amp; Barrett, 2011</t>
    <phoneticPr fontId="1" type="noConversion"/>
  </si>
  <si>
    <t>SMH uncatalogued</t>
  </si>
  <si>
    <t>Vincent &amp; Storrs, 2019</t>
    <phoneticPr fontId="1" type="noConversion"/>
  </si>
  <si>
    <t>YKM 68249/1-10</t>
  </si>
  <si>
    <t>Fischer et al, 2015</t>
    <phoneticPr fontId="1" type="noConversion"/>
  </si>
  <si>
    <t>GPIT-RE-9428</t>
  </si>
  <si>
    <t>NHMUK PV OR 36184</t>
  </si>
  <si>
    <t>NHMUK PV R2454</t>
    <phoneticPr fontId="1" type="noConversion"/>
  </si>
  <si>
    <t>Andrews, 1910</t>
    <phoneticPr fontId="1" type="noConversion"/>
  </si>
  <si>
    <t>MOR 3072</t>
  </si>
  <si>
    <t>Serratos et al, 2017</t>
    <phoneticPr fontId="1" type="noConversion"/>
  </si>
  <si>
    <t>PMO 224.248</t>
  </si>
  <si>
    <t>Roberts et al, 2020</t>
    <phoneticPr fontId="1" type="noConversion"/>
  </si>
  <si>
    <t>MNA V9442</t>
  </si>
  <si>
    <t>USNM 536965</t>
    <phoneticPr fontId="1" type="noConversion"/>
  </si>
  <si>
    <t>Wilhelm &amp; O'Keefe, 2010</t>
    <phoneticPr fontId="1" type="noConversion"/>
  </si>
  <si>
    <t>NHMUK PC R1965</t>
    <phoneticPr fontId="1" type="noConversion"/>
  </si>
  <si>
    <t>NHMUK PV OR 22656</t>
    <phoneticPr fontId="1" type="noConversion"/>
  </si>
  <si>
    <t>NHMUK PV R3891</t>
    <phoneticPr fontId="1" type="noConversion"/>
  </si>
  <si>
    <t>Andrews, 1913</t>
    <phoneticPr fontId="1" type="noConversion"/>
  </si>
  <si>
    <t>YORYM G503</t>
  </si>
  <si>
    <t>MNA V10046</t>
  </si>
  <si>
    <t>McKean, 2012</t>
    <phoneticPr fontId="1" type="noConversion"/>
  </si>
  <si>
    <t>UNSM 50132</t>
  </si>
  <si>
    <t>Welles, 1970</t>
    <phoneticPr fontId="1" type="noConversion"/>
  </si>
  <si>
    <t>MNHGr.PA.11710</t>
  </si>
  <si>
    <t>Bardet et al, 2003</t>
    <phoneticPr fontId="1" type="noConversion"/>
  </si>
  <si>
    <t>NHMUK PV R3539</t>
    <phoneticPr fontId="1" type="noConversion"/>
  </si>
  <si>
    <t>SM 3025</t>
    <phoneticPr fontId="1" type="noConversion"/>
  </si>
  <si>
    <t>Thurmond, 1968</t>
    <phoneticPr fontId="1" type="noConversion"/>
  </si>
  <si>
    <t>TMP2012.50.1.</t>
  </si>
  <si>
    <t>Henderson, 2024</t>
    <phoneticPr fontId="1" type="noConversion"/>
  </si>
  <si>
    <t>Westphaliasaurus_simonsensii</t>
    <phoneticPr fontId="1" type="noConversion"/>
  </si>
  <si>
    <t>WMNH P58091</t>
    <phoneticPr fontId="1" type="noConversion"/>
  </si>
  <si>
    <t>Schwermann &amp; Sander, 2011</t>
    <phoneticPr fontId="1" type="noConversion"/>
  </si>
  <si>
    <t>MPEF-PV 11545</t>
  </si>
  <si>
    <t>O'Gorman, 2021</t>
    <phoneticPr fontId="1" type="noConversion"/>
  </si>
  <si>
    <t>AMNH 5835</t>
    <phoneticPr fontId="1" type="noConversion"/>
  </si>
  <si>
    <t>Otero, 2016</t>
    <phoneticPr fontId="1" type="noConversion"/>
  </si>
  <si>
    <t>NMING F8785</t>
    <phoneticPr fontId="1" type="noConversion"/>
  </si>
  <si>
    <t>USNM 536976</t>
  </si>
  <si>
    <t>Richards, 2011</t>
    <phoneticPr fontId="1" type="noConversion"/>
  </si>
  <si>
    <t>SAM K-5822</t>
  </si>
  <si>
    <t>Cruickshank &amp; Long, 1997</t>
    <phoneticPr fontId="1" type="noConversion"/>
  </si>
  <si>
    <t>Welles, 1943</t>
    <phoneticPr fontId="1" type="noConversion"/>
  </si>
  <si>
    <t>LACM 2802</t>
    <phoneticPr fontId="1" type="noConversion"/>
  </si>
  <si>
    <t>NHMUK PV OR40106</t>
  </si>
  <si>
    <t>Hulke, 1870</t>
    <phoneticPr fontId="1" type="noConversion"/>
  </si>
  <si>
    <t>GMM-A3B.2.</t>
  </si>
  <si>
    <t>Hampe, 2013</t>
    <phoneticPr fontId="1" type="noConversion"/>
  </si>
  <si>
    <t>skull length</t>
    <phoneticPr fontId="1" type="noConversion"/>
  </si>
  <si>
    <t>cervical number</t>
    <phoneticPr fontId="1" type="noConversion"/>
  </si>
  <si>
    <t>MOR 751</t>
    <phoneticPr fontId="1" type="noConversion"/>
  </si>
  <si>
    <t>SMNK-PAL 3978</t>
  </si>
  <si>
    <t>Gutarra et al, 2022</t>
    <phoneticPr fontId="1" type="noConversion"/>
  </si>
  <si>
    <t>YKM 68344/1_262</t>
  </si>
  <si>
    <t>Fischer et al, 2023</t>
    <phoneticPr fontId="1" type="noConversion"/>
  </si>
  <si>
    <t>humerus length</t>
    <phoneticPr fontId="1" type="noConversion"/>
  </si>
  <si>
    <t>humerus distal width</t>
    <phoneticPr fontId="1" type="noConversion"/>
  </si>
  <si>
    <t>femur length</t>
    <phoneticPr fontId="1" type="noConversion"/>
  </si>
  <si>
    <t>femur distal width</t>
    <phoneticPr fontId="1" type="noConversion"/>
  </si>
  <si>
    <t>ANSP 10081</t>
    <phoneticPr fontId="1" type="noConversion"/>
  </si>
  <si>
    <t>RSM P2414.l.</t>
    <phoneticPr fontId="1" type="noConversion"/>
  </si>
  <si>
    <t>Sachs, 2005</t>
    <phoneticPr fontId="1" type="noConversion"/>
  </si>
  <si>
    <t>Zhao, 2026</t>
  </si>
  <si>
    <t>NA</t>
    <phoneticPr fontId="1" type="noConversion"/>
  </si>
  <si>
    <t>BEDFM 1999.201</t>
  </si>
  <si>
    <t>Umoonasaurus_demoscyllus</t>
    <phoneticPr fontId="1" type="noConversion"/>
  </si>
  <si>
    <t>AM F99374</t>
  </si>
  <si>
    <t>Zarafasaura_oceanis</t>
    <phoneticPr fontId="1" type="noConversion"/>
  </si>
  <si>
    <t>WDC CMC-01</t>
  </si>
  <si>
    <t>coracoid width</t>
    <phoneticPr fontId="1" type="noConversion"/>
  </si>
  <si>
    <t>coracoid length</t>
    <phoneticPr fontId="1" type="noConversion"/>
  </si>
  <si>
    <t>pubic width max</t>
    <phoneticPr fontId="1" type="noConversion"/>
  </si>
  <si>
    <t>pubic length</t>
    <phoneticPr fontId="1" type="noConversion"/>
  </si>
  <si>
    <t>ischium length</t>
    <phoneticPr fontId="1" type="noConversion"/>
  </si>
  <si>
    <t>ischium width</t>
    <phoneticPr fontId="1" type="noConversion"/>
  </si>
  <si>
    <t>NHMUK PV R3319</t>
    <phoneticPr fontId="1" type="noConversion"/>
  </si>
  <si>
    <t>Sato, 2003</t>
    <phoneticPr fontId="1" type="noConversion"/>
  </si>
  <si>
    <t>Kear, Schroeder &amp; Lee, 2006</t>
    <phoneticPr fontId="1" type="noConversion"/>
  </si>
  <si>
    <t>AMM 98.1.1.</t>
  </si>
  <si>
    <t>Schumacher, 2007</t>
    <phoneticPr fontId="1" type="noConversion"/>
  </si>
  <si>
    <t>Ketchum &amp; Smith, 2011</t>
    <phoneticPr fontId="1" type="noConversion"/>
  </si>
  <si>
    <t>Lomax &amp; Whal, 2013</t>
    <phoneticPr fontId="1" type="noConversion"/>
  </si>
  <si>
    <t>NHMUK PV R2030</t>
    <phoneticPr fontId="1" type="noConversion"/>
  </si>
  <si>
    <t>MGUAN PA103</t>
  </si>
  <si>
    <t>Pliosaurus_westburyensis</t>
  </si>
  <si>
    <t>Pliosaurus_rossicus</t>
    <phoneticPr fontId="1" type="noConversion"/>
  </si>
  <si>
    <t>NLMH 106.058</t>
    <phoneticPr fontId="1" type="noConversion"/>
  </si>
  <si>
    <t>NHMUK PV R4853</t>
    <phoneticPr fontId="1" type="noConversion"/>
  </si>
  <si>
    <t>Smith &amp; Benson, 2014</t>
    <phoneticPr fontId="1" type="noConversion"/>
  </si>
  <si>
    <t>Welles, 1943; O'Gorman, 2020</t>
    <phoneticPr fontId="1" type="noConversion"/>
  </si>
  <si>
    <t>LACM 2748</t>
    <phoneticPr fontId="1" type="noConversion"/>
  </si>
  <si>
    <t>NHMUK PV OR 2020</t>
    <phoneticPr fontId="1" type="noConversion"/>
  </si>
  <si>
    <t>Pliosaurus_almanzaensis</t>
    <phoneticPr fontId="1" type="noConversion"/>
  </si>
  <si>
    <t>MP050310-1</t>
  </si>
  <si>
    <t>reference model</t>
    <phoneticPr fontId="1" type="noConversion"/>
  </si>
  <si>
    <t>model mass</t>
    <phoneticPr fontId="1" type="noConversion"/>
  </si>
  <si>
    <t>Stenorhynchosaurus_munozi VL17052004-1</t>
    <phoneticPr fontId="1" type="noConversion"/>
  </si>
  <si>
    <t>Brachauchenius lucasi USNM 4989</t>
    <phoneticPr fontId="1" type="noConversion"/>
  </si>
  <si>
    <t>MOZ 3728P</t>
  </si>
  <si>
    <t>Pin 2440/1</t>
    <phoneticPr fontId="1" type="noConversion"/>
  </si>
  <si>
    <t>Pliosaurus cf. kevani CAMSM J. 35990</t>
    <phoneticPr fontId="1" type="noConversion"/>
  </si>
  <si>
    <t>Pin 426</t>
    <phoneticPr fontId="1" type="noConversion"/>
  </si>
  <si>
    <t>mean</t>
    <phoneticPr fontId="1" type="noConversion"/>
  </si>
  <si>
    <t>name_in_tree</t>
    <phoneticPr fontId="1" type="noConversion"/>
  </si>
  <si>
    <t>clade</t>
    <phoneticPr fontId="1" type="noConversion"/>
  </si>
  <si>
    <t>Rhomaleosauridae</t>
    <phoneticPr fontId="1" type="noConversion"/>
  </si>
  <si>
    <t>Pliosauridae</t>
    <phoneticPr fontId="1" type="noConversion"/>
  </si>
  <si>
    <t>Thalassophonea</t>
    <phoneticPr fontId="1" type="noConversion"/>
  </si>
  <si>
    <t>Elasmosauridae</t>
    <phoneticPr fontId="1" type="noConversion"/>
  </si>
  <si>
    <t>Cryptoclididae</t>
    <phoneticPr fontId="1" type="noConversion"/>
  </si>
  <si>
    <t>Plesiosauroidea</t>
    <phoneticPr fontId="1" type="noConversion"/>
  </si>
  <si>
    <t>Plesiosauria</t>
    <phoneticPr fontId="1" type="noConversion"/>
  </si>
  <si>
    <t>Microcleididae</t>
    <phoneticPr fontId="1" type="noConversion"/>
  </si>
  <si>
    <t>Polycotylidae</t>
    <phoneticPr fontId="1" type="noConversion"/>
  </si>
  <si>
    <t>Leptocleididae</t>
    <phoneticPr fontId="1" type="noConversion"/>
  </si>
  <si>
    <t>Plesiosuaroidea</t>
    <phoneticPr fontId="1" type="noConversion"/>
  </si>
  <si>
    <t>Leptocleidia</t>
    <phoneticPr fontId="1" type="noConversion"/>
  </si>
  <si>
    <t>GPIT-RE-3184</t>
    <phoneticPr fontId="1" type="noConversion"/>
  </si>
  <si>
    <t>Archaeonectrus rostratus</t>
  </si>
  <si>
    <t>Attenborosaurus conybeari</t>
  </si>
  <si>
    <t>Atychodracon megacephalus</t>
  </si>
  <si>
    <t>Avalonnectes arturi</t>
  </si>
  <si>
    <t>Brachauchenius lucasi</t>
  </si>
  <si>
    <t>Callawayasaurus colombiensis</t>
  </si>
  <si>
    <t>Colymbosaurus megadeirus</t>
  </si>
  <si>
    <t>Eoplesiosaurus antiquior</t>
  </si>
  <si>
    <t>Eretmosaurus rugosus</t>
  </si>
  <si>
    <t>Hauffiosaurus longirostris</t>
  </si>
  <si>
    <t>Hauffiosaurus zanoni</t>
  </si>
  <si>
    <t>Kaiwhekea katiki</t>
  </si>
  <si>
    <t>Lindwurmia thiuda</t>
  </si>
  <si>
    <t>Microcleidus brachypterygius</t>
  </si>
  <si>
    <t>Microcleidus homalospondylus</t>
  </si>
  <si>
    <t>Plesiosaurus dolichodeirus</t>
  </si>
  <si>
    <t>Rhomaleosaurus zetlandicus</t>
  </si>
  <si>
    <t>Styxosaurus rezaci</t>
  </si>
  <si>
    <t>Thalassiodracon hawkinsii</t>
  </si>
  <si>
    <t>Trinacromerum bentonianum</t>
  </si>
  <si>
    <t>Wapuskanectes betsynichollsae</t>
  </si>
  <si>
    <t>Rhomaleosaurus cramptoni</t>
  </si>
  <si>
    <t>Libonectes morgani</t>
  </si>
  <si>
    <t>Rhomaleosaurus thorntoni</t>
  </si>
  <si>
    <t>Dolichorhynchops herschelensis</t>
  </si>
  <si>
    <t>Eopolycotylus rankini</t>
  </si>
  <si>
    <t>Fluvionectes sagecrensis</t>
  </si>
  <si>
    <t>Futabasaurus suzukii</t>
  </si>
  <si>
    <t>Jucha squalea</t>
  </si>
  <si>
    <t>Leptocleidus superstes</t>
  </si>
  <si>
    <t>Makhaira rossica</t>
  </si>
  <si>
    <t>Muraenosaurus leedsii</t>
  </si>
  <si>
    <t>Nakonanectes bradti</t>
  </si>
  <si>
    <t>Ophthalmothule cryostea</t>
  </si>
  <si>
    <t>Palmulasaurus quadratus</t>
  </si>
  <si>
    <t>Pantosaurus striatus</t>
  </si>
  <si>
    <t>Picrocleidus beloclis</t>
  </si>
  <si>
    <t>Pliosaurus andrewsi</t>
  </si>
  <si>
    <t>Thililua longicollis</t>
  </si>
  <si>
    <t>Tricleidus seeleyi</t>
  </si>
  <si>
    <t>Westphaliasaurus simonsensii</t>
  </si>
  <si>
    <t>Kawanectes lafquenianum</t>
  </si>
  <si>
    <t>Styxosaurus browni</t>
  </si>
  <si>
    <t>Tatenectes laramiensis</t>
  </si>
  <si>
    <t>Leptocleidus capensis</t>
  </si>
  <si>
    <t>Morenosaurus stocki</t>
  </si>
  <si>
    <t>Plesiosaurus mansellii</t>
  </si>
  <si>
    <t>Luskhan itilensis</t>
  </si>
  <si>
    <t>Gronausaurus wegneri</t>
  </si>
  <si>
    <t>Elasmosaurus platyurus</t>
  </si>
  <si>
    <t>Macroplata tenuiceps</t>
  </si>
  <si>
    <t>Meyerasaurus victor</t>
  </si>
  <si>
    <t>Peloneustes philarchus</t>
  </si>
  <si>
    <t>Pliosaurus funkei</t>
  </si>
  <si>
    <t>Liopleurodon ferox</t>
  </si>
  <si>
    <t>Kronosaurus MCZ 1285</t>
  </si>
  <si>
    <t>Sachicasaurus vitae</t>
  </si>
  <si>
    <t>Seeleyosaurus guilelmiimperatoris</t>
  </si>
  <si>
    <t>Microcleidus tournemirensis</t>
  </si>
  <si>
    <t>Plesiopterys wildi</t>
  </si>
  <si>
    <t>Cryptoclidus eurymerus</t>
  </si>
  <si>
    <t>Abyssosaurus nataliae</t>
  </si>
  <si>
    <t>Polycotylus latipinnis</t>
  </si>
  <si>
    <t>Dolichorhynchops osborni</t>
  </si>
  <si>
    <t>Martinectes bonneri</t>
  </si>
  <si>
    <t>Aristonectes quiriquinensis</t>
  </si>
  <si>
    <t>Albertonectes vanderveldei</t>
  </si>
  <si>
    <t>Vegasaurus molyi</t>
  </si>
  <si>
    <t>Hydrotherosaurus alexandrae</t>
  </si>
  <si>
    <t>Thalassomedon haningtoni</t>
  </si>
  <si>
    <t>Styxosaurus SDSM 451</t>
  </si>
  <si>
    <t>Terminonatator ponteixensis</t>
  </si>
  <si>
    <t>Marmornectes candrewi</t>
  </si>
  <si>
    <t>Eurycleidus arcuatus</t>
  </si>
  <si>
    <t>Simolestes vorax</t>
  </si>
  <si>
    <t>Zarafasaura oceanis</t>
  </si>
  <si>
    <t>Pahasapasaurus haasi</t>
  </si>
  <si>
    <t>Cardiocorax mukulu</t>
  </si>
  <si>
    <t>Aphrosaurus furlongi</t>
  </si>
  <si>
    <t>Thaumatodracon wiedenrothi</t>
  </si>
  <si>
    <t>Edgarosaurus muddi</t>
  </si>
  <si>
    <t>Stenorhynchosaurus munozi</t>
  </si>
  <si>
    <t>Pliosaurus westburyensis</t>
  </si>
  <si>
    <t>Pliosaurus almanzaensis</t>
  </si>
  <si>
    <t>Pliosaurus rossicus</t>
  </si>
  <si>
    <t>Brachauchenius MNA V9433</t>
  </si>
  <si>
    <t>CDM 002</t>
    <phoneticPr fontId="1" type="noConversion"/>
  </si>
  <si>
    <t>O'Keefe et al, 2025</t>
    <phoneticPr fontId="1" type="noConversion"/>
  </si>
  <si>
    <t>Traskasaura sandrae</t>
    <phoneticPr fontId="1" type="noConversion"/>
  </si>
  <si>
    <t>BRSMG Cc332</t>
    <phoneticPr fontId="1" type="noConversion"/>
  </si>
  <si>
    <t>McHenry, 2009</t>
    <phoneticPr fontId="1" type="noConversion"/>
  </si>
  <si>
    <t>Welles, 1962</t>
    <phoneticPr fontId="1" type="noConversion"/>
  </si>
  <si>
    <t>Vincent et al, 2011</t>
    <phoneticPr fontId="1" type="noConversion"/>
  </si>
  <si>
    <t>Storrs, 1997</t>
    <phoneticPr fontId="1" type="noConversion"/>
  </si>
  <si>
    <t>mean dorsal centrum length</t>
    <phoneticPr fontId="1" type="noConversion"/>
  </si>
  <si>
    <t>mean dorsal centrum width</t>
    <phoneticPr fontId="1" type="noConversion"/>
  </si>
  <si>
    <t>mean dorsal centrum height</t>
    <phoneticPr fontId="1" type="noConversion"/>
  </si>
  <si>
    <t>Scalamagnus tropicensis</t>
    <phoneticPr fontId="1" type="noConversion"/>
  </si>
  <si>
    <r>
      <t>Ar</t>
    </r>
    <r>
      <rPr>
        <sz val="16"/>
        <color theme="1"/>
        <rFont val="等线"/>
        <family val="3"/>
        <charset val="134"/>
      </rPr>
      <t>á</t>
    </r>
    <r>
      <rPr>
        <sz val="16"/>
        <color theme="1"/>
        <rFont val="等线"/>
        <family val="3"/>
        <charset val="134"/>
        <scheme val="minor"/>
      </rPr>
      <t>ujo et al, 2015</t>
    </r>
    <phoneticPr fontId="1" type="noConversion"/>
  </si>
  <si>
    <t xml:space="preserve">Smith &amp; Aráujo, 2017 </t>
    <phoneticPr fontId="1" type="noConversion"/>
  </si>
  <si>
    <t>Druckenmiller, 2002</t>
    <phoneticPr fontId="1" type="noConversion"/>
  </si>
  <si>
    <t>model skull length</t>
    <phoneticPr fontId="1" type="noConversion"/>
  </si>
  <si>
    <t>MNA V9433</t>
    <phoneticPr fontId="1" type="noConversion"/>
  </si>
  <si>
    <t>estimate1</t>
    <phoneticPr fontId="1" type="noConversion"/>
  </si>
  <si>
    <t>estimate2</t>
    <phoneticPr fontId="1" type="noConversion"/>
  </si>
  <si>
    <t>estimate3</t>
    <phoneticPr fontId="1" type="noConversion"/>
  </si>
  <si>
    <t>estimate4</t>
    <phoneticPr fontId="1" type="noConversion"/>
  </si>
  <si>
    <t>estimate5</t>
    <phoneticPr fontId="1" type="noConversion"/>
  </si>
  <si>
    <t>estimate6</t>
    <phoneticPr fontId="1" type="noConversion"/>
  </si>
  <si>
    <t>estimate7</t>
    <phoneticPr fontId="1" type="noConversion"/>
  </si>
  <si>
    <t>estimate8</t>
    <phoneticPr fontId="1" type="noConversion"/>
  </si>
  <si>
    <t>estimate9</t>
    <phoneticPr fontId="1" type="noConversion"/>
  </si>
  <si>
    <t>estimate10</t>
    <phoneticPr fontId="1" type="noConversion"/>
  </si>
  <si>
    <t>Sassoon et al, 2012</t>
    <phoneticPr fontId="1" type="noConversion"/>
  </si>
  <si>
    <t>Páramo-Fonseca et al, 2019</t>
    <phoneticPr fontId="1" type="noConversion"/>
  </si>
  <si>
    <t>O’Gorma et al, 2018</t>
    <phoneticPr fontId="1" type="noConversion"/>
  </si>
  <si>
    <t>Halstear, 1971</t>
    <phoneticPr fontId="1" type="noConversion"/>
  </si>
  <si>
    <t>Albright III et al, 2007</t>
    <phoneticPr fontId="1" type="noConversion"/>
  </si>
  <si>
    <t>name in tree</t>
    <phoneticPr fontId="1" type="noConversion"/>
  </si>
  <si>
    <t>Storrs et al, 2000</t>
    <phoneticPr fontId="1" type="noConversion"/>
  </si>
  <si>
    <t>*Mass of USNM 4989 was estimated</t>
    <phoneticPr fontId="1" type="noConversion"/>
  </si>
  <si>
    <t>based on the trunk-mass equation.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</si>
</sst>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1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08C4-B91A-463F-8F25-95EDE7DC728E}">
  <dimension ref="A1:E26"/>
  <sheetViews>
    <sheetView workbookViewId="0"/>
  </sheetViews>
  <sheetFormatPr defaultRowHeight="13.8" x14ac:dyDescent="0.25"/>
  <cols>
    <col min="1" max="1" width="45.88671875" bestFit="1" customWidth="1"/>
    <col min="2" max="2" width="37.21875" bestFit="1" customWidth="1"/>
    <col min="3" max="3" width="10.109375" bestFit="1" customWidth="1"/>
    <col min="4" max="4" width="41.77734375" bestFit="1" customWidth="1"/>
    <col min="5" max="5" width="9.5546875" bestFit="1" customWidth="1"/>
  </cols>
  <sheetData>
    <row r="1" spans="1:5" ht="20.399999999999999" x14ac:dyDescent="0.35">
      <c r="A1" s="5" t="s">
        <v>376</v>
      </c>
      <c r="B1" s="5" t="s">
        <v>85</v>
      </c>
      <c r="C1" s="5" t="s">
        <v>82</v>
      </c>
      <c r="D1" s="5" t="s">
        <v>107</v>
      </c>
      <c r="E1" s="5" t="s">
        <v>83</v>
      </c>
    </row>
    <row r="2" spans="1:5" ht="20.399999999999999" x14ac:dyDescent="0.35">
      <c r="A2" s="4" t="s">
        <v>6</v>
      </c>
      <c r="B2" s="4" t="s">
        <v>108</v>
      </c>
      <c r="C2" s="4">
        <v>0.97</v>
      </c>
      <c r="D2" s="4" t="s">
        <v>110</v>
      </c>
      <c r="E2" s="6">
        <f>10^(LOG10(C2)*2.9292+2.4367)</f>
        <v>250.00676700961745</v>
      </c>
    </row>
    <row r="3" spans="1:5" ht="20.399999999999999" x14ac:dyDescent="0.35">
      <c r="A3" s="4" t="s">
        <v>27</v>
      </c>
      <c r="B3" s="4" t="s">
        <v>109</v>
      </c>
      <c r="C3" s="4">
        <v>1.34</v>
      </c>
      <c r="D3" s="4" t="s">
        <v>111</v>
      </c>
      <c r="E3" s="6">
        <f t="shared" ref="E3:E11" si="0">10^(LOG10(C3)*2.9292+2.4367)</f>
        <v>644.19207150664681</v>
      </c>
    </row>
    <row r="4" spans="1:5" ht="20.399999999999999" x14ac:dyDescent="0.35">
      <c r="A4" s="4" t="s">
        <v>5</v>
      </c>
      <c r="B4" s="4" t="s">
        <v>112</v>
      </c>
      <c r="C4" s="4">
        <v>1.5780000000000001</v>
      </c>
      <c r="D4" s="4" t="s">
        <v>113</v>
      </c>
      <c r="E4" s="6">
        <f t="shared" si="0"/>
        <v>1039.9082438980106</v>
      </c>
    </row>
    <row r="5" spans="1:5" ht="20.399999999999999" x14ac:dyDescent="0.35">
      <c r="A5" s="4" t="s">
        <v>1</v>
      </c>
      <c r="B5" s="4" t="s">
        <v>114</v>
      </c>
      <c r="C5" s="4">
        <v>0.73499999999999999</v>
      </c>
      <c r="D5" s="4" t="s">
        <v>111</v>
      </c>
      <c r="E5" s="6">
        <f t="shared" si="0"/>
        <v>110.92485601205408</v>
      </c>
    </row>
    <row r="6" spans="1:5" ht="20.399999999999999" x14ac:dyDescent="0.35">
      <c r="A6" s="4" t="s">
        <v>24</v>
      </c>
      <c r="B6" s="4" t="s">
        <v>115</v>
      </c>
      <c r="C6" s="7">
        <v>1.8320000000000001</v>
      </c>
      <c r="D6" s="4" t="s">
        <v>348</v>
      </c>
      <c r="E6" s="6">
        <f t="shared" si="0"/>
        <v>1610.1312712679792</v>
      </c>
    </row>
    <row r="7" spans="1:5" ht="20.399999999999999" x14ac:dyDescent="0.35">
      <c r="A7" s="4" t="s">
        <v>71</v>
      </c>
      <c r="B7" s="4" t="s">
        <v>116</v>
      </c>
      <c r="C7" s="4">
        <v>2.0699999999999998</v>
      </c>
      <c r="D7" s="4" t="s">
        <v>349</v>
      </c>
      <c r="E7" s="6">
        <f t="shared" si="0"/>
        <v>2302.7157737139455</v>
      </c>
    </row>
    <row r="8" spans="1:5" ht="20.399999999999999" x14ac:dyDescent="0.35">
      <c r="A8" s="4" t="s">
        <v>42</v>
      </c>
      <c r="B8" s="4" t="s">
        <v>117</v>
      </c>
      <c r="C8" s="4">
        <v>1.7</v>
      </c>
      <c r="D8" s="4" t="s">
        <v>118</v>
      </c>
      <c r="E8" s="6">
        <f t="shared" si="0"/>
        <v>1293.3944126500564</v>
      </c>
    </row>
    <row r="9" spans="1:5" ht="20.399999999999999" x14ac:dyDescent="0.35">
      <c r="A9" s="4" t="s">
        <v>120</v>
      </c>
      <c r="B9" s="4" t="s">
        <v>121</v>
      </c>
      <c r="C9" s="4">
        <v>0.76800000000000002</v>
      </c>
      <c r="D9" s="4" t="s">
        <v>111</v>
      </c>
      <c r="E9" s="6">
        <f t="shared" si="0"/>
        <v>126.15372704998349</v>
      </c>
    </row>
    <row r="10" spans="1:5" ht="20.399999999999999" x14ac:dyDescent="0.35">
      <c r="A10" s="4" t="s">
        <v>29</v>
      </c>
      <c r="B10" s="4" t="s">
        <v>126</v>
      </c>
      <c r="C10" s="4">
        <v>1.0549999999999999</v>
      </c>
      <c r="D10" s="4" t="s">
        <v>110</v>
      </c>
      <c r="E10" s="6">
        <f t="shared" si="0"/>
        <v>319.75040612279849</v>
      </c>
    </row>
    <row r="11" spans="1:5" ht="20.399999999999999" x14ac:dyDescent="0.35">
      <c r="A11" s="4" t="s">
        <v>11</v>
      </c>
      <c r="B11" s="4" t="s">
        <v>131</v>
      </c>
      <c r="C11" s="4">
        <v>2.0299999999999998</v>
      </c>
      <c r="D11" s="4" t="s">
        <v>111</v>
      </c>
      <c r="E11" s="6">
        <f t="shared" si="0"/>
        <v>2174.7903348616846</v>
      </c>
    </row>
    <row r="12" spans="1:5" ht="20.399999999999999" x14ac:dyDescent="0.35">
      <c r="A12" s="4" t="s">
        <v>12</v>
      </c>
      <c r="B12" s="4" t="s">
        <v>132</v>
      </c>
      <c r="C12" s="4">
        <v>0.95799999999999996</v>
      </c>
      <c r="D12" s="4" t="s">
        <v>350</v>
      </c>
      <c r="E12" s="6">
        <f t="shared" ref="E12:E19" si="1">10^(LOG10(C12)*2.9292+2.4367)</f>
        <v>241.05483630329994</v>
      </c>
    </row>
    <row r="13" spans="1:5" ht="20.399999999999999" x14ac:dyDescent="0.35">
      <c r="A13" s="4" t="s">
        <v>62</v>
      </c>
      <c r="B13" s="4" t="s">
        <v>135</v>
      </c>
      <c r="C13" s="4">
        <v>1.95</v>
      </c>
      <c r="D13" s="4" t="s">
        <v>136</v>
      </c>
      <c r="E13" s="6">
        <f t="shared" si="1"/>
        <v>1933.1670474877419</v>
      </c>
    </row>
    <row r="14" spans="1:5" ht="20.399999999999999" x14ac:dyDescent="0.35">
      <c r="A14" s="4" t="s">
        <v>21</v>
      </c>
      <c r="B14" s="4" t="s">
        <v>139</v>
      </c>
      <c r="C14" s="4">
        <v>0.76600000000000001</v>
      </c>
      <c r="D14" s="4" t="s">
        <v>140</v>
      </c>
      <c r="E14" s="6">
        <f t="shared" si="1"/>
        <v>125.19382601968421</v>
      </c>
    </row>
    <row r="15" spans="1:5" ht="20.399999999999999" x14ac:dyDescent="0.35">
      <c r="A15" s="4" t="s">
        <v>32</v>
      </c>
      <c r="B15" s="4" t="s">
        <v>143</v>
      </c>
      <c r="C15" s="4">
        <v>0.69</v>
      </c>
      <c r="D15" s="4" t="s">
        <v>111</v>
      </c>
      <c r="E15" s="6">
        <f t="shared" si="1"/>
        <v>92.184256350864615</v>
      </c>
    </row>
    <row r="16" spans="1:5" ht="20.399999999999999" x14ac:dyDescent="0.35">
      <c r="A16" s="4" t="s">
        <v>33</v>
      </c>
      <c r="B16" s="4" t="s">
        <v>144</v>
      </c>
      <c r="C16" s="4">
        <v>1.34</v>
      </c>
      <c r="D16" s="4" t="s">
        <v>111</v>
      </c>
      <c r="E16" s="6">
        <f t="shared" si="1"/>
        <v>644.19207150664681</v>
      </c>
    </row>
    <row r="17" spans="1:5" ht="20.399999999999999" x14ac:dyDescent="0.35">
      <c r="A17" s="4" t="s">
        <v>28</v>
      </c>
      <c r="B17" s="4" t="s">
        <v>155</v>
      </c>
      <c r="C17" s="4">
        <v>0.76</v>
      </c>
      <c r="D17" s="4" t="s">
        <v>351</v>
      </c>
      <c r="E17" s="6">
        <f t="shared" si="1"/>
        <v>122.34301374288886</v>
      </c>
    </row>
    <row r="18" spans="1:5" ht="20.399999999999999" x14ac:dyDescent="0.35">
      <c r="A18" s="4" t="s">
        <v>8</v>
      </c>
      <c r="B18" s="4" t="s">
        <v>158</v>
      </c>
      <c r="C18" s="4">
        <v>1.8</v>
      </c>
      <c r="D18" s="4" t="s">
        <v>111</v>
      </c>
      <c r="E18" s="6">
        <f t="shared" si="1"/>
        <v>1529.1293420526297</v>
      </c>
    </row>
    <row r="19" spans="1:5" ht="20.399999999999999" x14ac:dyDescent="0.35">
      <c r="A19" s="4" t="s">
        <v>77</v>
      </c>
      <c r="B19" s="4" t="s">
        <v>161</v>
      </c>
      <c r="C19" s="7">
        <v>3.4620000000000002</v>
      </c>
      <c r="D19" s="4" t="s">
        <v>162</v>
      </c>
      <c r="E19" s="6">
        <f t="shared" si="1"/>
        <v>10387.160314139577</v>
      </c>
    </row>
    <row r="20" spans="1:5" ht="20.399999999999999" x14ac:dyDescent="0.35">
      <c r="A20" s="4" t="s">
        <v>10</v>
      </c>
      <c r="B20" s="4" t="s">
        <v>231</v>
      </c>
      <c r="C20" s="4">
        <v>0.52</v>
      </c>
      <c r="D20" s="4" t="s">
        <v>113</v>
      </c>
      <c r="E20" s="6">
        <f t="shared" ref="E20:E25" si="2">10^(LOG10(C20)*2.9292+2.4367)</f>
        <v>40.254737055965535</v>
      </c>
    </row>
    <row r="21" spans="1:5" ht="20.399999999999999" x14ac:dyDescent="0.35">
      <c r="A21" s="4" t="s">
        <v>52</v>
      </c>
      <c r="B21" s="4" t="s">
        <v>166</v>
      </c>
      <c r="C21" s="7">
        <v>1.7170000000000001</v>
      </c>
      <c r="D21" s="4" t="s">
        <v>167</v>
      </c>
      <c r="E21" s="6">
        <f t="shared" si="2"/>
        <v>1331.6471029128363</v>
      </c>
    </row>
    <row r="22" spans="1:5" ht="20.399999999999999" x14ac:dyDescent="0.35">
      <c r="A22" s="4" t="s">
        <v>58</v>
      </c>
      <c r="B22" s="4" t="s">
        <v>168</v>
      </c>
      <c r="C22" s="4">
        <v>1.696</v>
      </c>
      <c r="D22" s="4" t="s">
        <v>169</v>
      </c>
      <c r="E22" s="6">
        <f t="shared" si="2"/>
        <v>1284.5002517774535</v>
      </c>
    </row>
    <row r="23" spans="1:5" ht="20.399999999999999" x14ac:dyDescent="0.35">
      <c r="A23" s="4" t="s">
        <v>7</v>
      </c>
      <c r="B23" s="4" t="s">
        <v>177</v>
      </c>
      <c r="C23" s="8">
        <v>2.2000000000000002</v>
      </c>
      <c r="D23" s="4" t="s">
        <v>113</v>
      </c>
      <c r="E23" s="6">
        <f t="shared" si="2"/>
        <v>2752.4821844484945</v>
      </c>
    </row>
    <row r="24" spans="1:5" ht="20.399999999999999" x14ac:dyDescent="0.35">
      <c r="A24" s="4" t="s">
        <v>61</v>
      </c>
      <c r="B24" s="4" t="s">
        <v>191</v>
      </c>
      <c r="C24" s="4">
        <v>1.35</v>
      </c>
      <c r="D24" s="4" t="s">
        <v>192</v>
      </c>
      <c r="E24" s="6">
        <f t="shared" si="2"/>
        <v>658.37552044601728</v>
      </c>
    </row>
    <row r="25" spans="1:5" ht="20.399999999999999" x14ac:dyDescent="0.35">
      <c r="A25" s="4" t="s">
        <v>9</v>
      </c>
      <c r="B25" s="4" t="s">
        <v>227</v>
      </c>
      <c r="C25" s="7">
        <v>2.2450000000000001</v>
      </c>
      <c r="D25" s="4" t="s">
        <v>228</v>
      </c>
      <c r="E25" s="6">
        <f t="shared" si="2"/>
        <v>2920.6728849915526</v>
      </c>
    </row>
    <row r="26" spans="1:5" ht="20.399999999999999" x14ac:dyDescent="0.35">
      <c r="A26" s="2"/>
      <c r="B26" s="4"/>
      <c r="D26" s="4"/>
      <c r="E2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C416-1B0D-4778-ABDC-4EDF28D7A519}">
  <dimension ref="A1:G31"/>
  <sheetViews>
    <sheetView workbookViewId="0">
      <selection activeCell="A2" sqref="A2"/>
    </sheetView>
  </sheetViews>
  <sheetFormatPr defaultRowHeight="13.8" x14ac:dyDescent="0.25"/>
  <cols>
    <col min="1" max="1" width="46.33203125" bestFit="1" customWidth="1"/>
    <col min="2" max="2" width="28" customWidth="1"/>
    <col min="3" max="4" width="19.6640625" bestFit="1" customWidth="1"/>
    <col min="5" max="5" width="14.6640625" bestFit="1" customWidth="1"/>
    <col min="6" max="6" width="35.5546875" bestFit="1" customWidth="1"/>
  </cols>
  <sheetData>
    <row r="1" spans="1:7" ht="20.399999999999999" x14ac:dyDescent="0.35">
      <c r="A1" s="5" t="s">
        <v>376</v>
      </c>
      <c r="B1" s="5" t="s">
        <v>85</v>
      </c>
      <c r="C1" s="5" t="s">
        <v>352</v>
      </c>
      <c r="D1" s="5" t="s">
        <v>353</v>
      </c>
      <c r="E1" s="5" t="s">
        <v>354</v>
      </c>
      <c r="F1" s="5" t="s">
        <v>107</v>
      </c>
      <c r="G1" s="5" t="s">
        <v>83</v>
      </c>
    </row>
    <row r="2" spans="1:7" ht="20.399999999999999" x14ac:dyDescent="0.35">
      <c r="A2" s="4" t="s">
        <v>56</v>
      </c>
      <c r="B2" s="4" t="s">
        <v>119</v>
      </c>
      <c r="C2" s="4">
        <v>3.95E-2</v>
      </c>
      <c r="D2" s="4">
        <v>5.1999999999999998E-2</v>
      </c>
      <c r="E2" s="4">
        <v>5.7500000000000002E-2</v>
      </c>
      <c r="F2" s="4" t="s">
        <v>125</v>
      </c>
      <c r="G2" s="6">
        <f t="shared" ref="G2:G15" si="0">10^(LOG10(C2*D2*E2)*1.0257+6.5333)</f>
        <v>319.61384137538965</v>
      </c>
    </row>
    <row r="3" spans="1:7" ht="20.399999999999999" x14ac:dyDescent="0.35">
      <c r="A3" s="4" t="s">
        <v>122</v>
      </c>
      <c r="B3" s="4" t="s">
        <v>123</v>
      </c>
      <c r="C3" s="4">
        <v>4.7329999999999997E-2</v>
      </c>
      <c r="D3" s="4">
        <v>7.4200000000000002E-2</v>
      </c>
      <c r="E3" s="4">
        <v>7.2400000000000006E-2</v>
      </c>
      <c r="F3" s="4" t="s">
        <v>124</v>
      </c>
      <c r="G3" s="6">
        <f t="shared" si="0"/>
        <v>701.76975281120917</v>
      </c>
    </row>
    <row r="4" spans="1:7" ht="20.399999999999999" x14ac:dyDescent="0.35">
      <c r="A4" s="4" t="s">
        <v>72</v>
      </c>
      <c r="B4" s="4" t="s">
        <v>127</v>
      </c>
      <c r="C4" s="4">
        <v>4.8412727269999997E-2</v>
      </c>
      <c r="D4" s="4">
        <v>6.0825454549999998E-2</v>
      </c>
      <c r="E4" s="4">
        <v>4.3615909090000002E-2</v>
      </c>
      <c r="F4" s="4" t="s">
        <v>128</v>
      </c>
      <c r="G4" s="6">
        <f t="shared" si="0"/>
        <v>348.32381612942152</v>
      </c>
    </row>
    <row r="5" spans="1:7" ht="20.399999999999999" x14ac:dyDescent="0.35">
      <c r="A5" s="4" t="s">
        <v>70</v>
      </c>
      <c r="B5" s="4" t="s">
        <v>129</v>
      </c>
      <c r="C5" s="4">
        <v>7.4499999999999997E-2</v>
      </c>
      <c r="D5" s="4">
        <v>0.10475</v>
      </c>
      <c r="E5" s="4">
        <v>8.3589999999999998E-2</v>
      </c>
      <c r="F5" s="4" t="s">
        <v>130</v>
      </c>
      <c r="G5" s="6">
        <f t="shared" si="0"/>
        <v>1844.5752223973834</v>
      </c>
    </row>
    <row r="6" spans="1:7" ht="20.399999999999999" x14ac:dyDescent="0.35">
      <c r="A6" s="4" t="s">
        <v>74</v>
      </c>
      <c r="B6" s="4" t="s">
        <v>133</v>
      </c>
      <c r="C6" s="4">
        <v>6.8062499999999998E-2</v>
      </c>
      <c r="D6" s="4">
        <v>9.5588235290000004E-2</v>
      </c>
      <c r="E6" s="4">
        <v>7.4666666670000006E-2</v>
      </c>
      <c r="F6" s="4" t="s">
        <v>134</v>
      </c>
      <c r="G6" s="6">
        <f t="shared" si="0"/>
        <v>1363.2659565122096</v>
      </c>
    </row>
    <row r="7" spans="1:7" ht="20.399999999999999" x14ac:dyDescent="0.35">
      <c r="A7" s="4" t="s">
        <v>46</v>
      </c>
      <c r="B7" s="4" t="s">
        <v>137</v>
      </c>
      <c r="C7" s="4">
        <v>3.1814285710000001E-2</v>
      </c>
      <c r="D7" s="4">
        <v>5.1225E-2</v>
      </c>
      <c r="E7" s="4">
        <v>4.965E-2</v>
      </c>
      <c r="F7" s="4" t="s">
        <v>138</v>
      </c>
      <c r="G7" s="6">
        <f t="shared" si="0"/>
        <v>216.85008572280597</v>
      </c>
    </row>
    <row r="8" spans="1:7" ht="20.399999999999999" x14ac:dyDescent="0.35">
      <c r="A8" s="4" t="s">
        <v>20</v>
      </c>
      <c r="B8" s="4" t="s">
        <v>141</v>
      </c>
      <c r="C8" s="4">
        <v>6.6360000000000002E-2</v>
      </c>
      <c r="D8" s="4">
        <v>6.7949999999999997E-2</v>
      </c>
      <c r="E8" s="4">
        <v>6.8519999999999998E-2</v>
      </c>
      <c r="F8" s="4" t="s">
        <v>142</v>
      </c>
      <c r="G8" s="6">
        <f t="shared" si="0"/>
        <v>857.0456634273263</v>
      </c>
    </row>
    <row r="9" spans="1:7" ht="20.399999999999999" x14ac:dyDescent="0.35">
      <c r="A9" s="4" t="s">
        <v>37</v>
      </c>
      <c r="B9" s="4" t="s">
        <v>145</v>
      </c>
      <c r="C9" s="4">
        <v>6.8000000000000005E-2</v>
      </c>
      <c r="D9" s="4">
        <v>8.4000000000000005E-2</v>
      </c>
      <c r="E9" s="4">
        <v>7.5999999999999998E-2</v>
      </c>
      <c r="F9" s="4" t="s">
        <v>146</v>
      </c>
      <c r="G9" s="6">
        <f t="shared" si="0"/>
        <v>1214.7534945012069</v>
      </c>
    </row>
    <row r="10" spans="1:7" ht="20.399999999999999" x14ac:dyDescent="0.35">
      <c r="A10" s="4" t="s">
        <v>76</v>
      </c>
      <c r="B10" s="4" t="s">
        <v>147</v>
      </c>
      <c r="C10" s="4">
        <v>6.5000000000000002E-2</v>
      </c>
      <c r="D10" s="4">
        <v>9.2329999999999995E-2</v>
      </c>
      <c r="E10" s="4">
        <v>0.08</v>
      </c>
      <c r="F10" s="4" t="s">
        <v>148</v>
      </c>
      <c r="G10" s="6">
        <f t="shared" si="0"/>
        <v>1346.9664421609668</v>
      </c>
    </row>
    <row r="11" spans="1:7" ht="20.399999999999999" x14ac:dyDescent="0.35">
      <c r="A11" s="4" t="s">
        <v>43</v>
      </c>
      <c r="B11" s="4" t="s">
        <v>149</v>
      </c>
      <c r="C11" s="4">
        <v>5.8000000000000003E-2</v>
      </c>
      <c r="D11" s="4">
        <v>7.213E-2</v>
      </c>
      <c r="E11" s="4">
        <v>5.5599999999999997E-2</v>
      </c>
      <c r="F11" s="4" t="s">
        <v>150</v>
      </c>
      <c r="G11" s="6">
        <f t="shared" si="0"/>
        <v>640.53198091382012</v>
      </c>
    </row>
    <row r="12" spans="1:7" ht="20.399999999999999" x14ac:dyDescent="0.35">
      <c r="A12" s="4" t="s">
        <v>49</v>
      </c>
      <c r="B12" s="4" t="s">
        <v>151</v>
      </c>
      <c r="C12" s="4">
        <v>0.06</v>
      </c>
      <c r="D12" s="4">
        <v>6.5000000000000002E-2</v>
      </c>
      <c r="E12" s="4">
        <v>5.5E-2</v>
      </c>
      <c r="F12" s="4" t="s">
        <v>124</v>
      </c>
      <c r="G12" s="6">
        <f t="shared" si="0"/>
        <v>589.44729364087164</v>
      </c>
    </row>
    <row r="13" spans="1:7" ht="20.399999999999999" x14ac:dyDescent="0.35">
      <c r="A13" s="4" t="s">
        <v>38</v>
      </c>
      <c r="B13" s="4" t="s">
        <v>152</v>
      </c>
      <c r="C13" s="4">
        <v>5.3999999999999999E-2</v>
      </c>
      <c r="D13" s="4">
        <v>5.7250000000000002E-2</v>
      </c>
      <c r="E13" s="4">
        <v>6.9750000000000006E-2</v>
      </c>
      <c r="F13" s="4" t="s">
        <v>153</v>
      </c>
      <c r="G13" s="6">
        <f t="shared" si="0"/>
        <v>592.63855093989753</v>
      </c>
    </row>
    <row r="14" spans="1:7" ht="20.399999999999999" x14ac:dyDescent="0.35">
      <c r="A14" s="4" t="s">
        <v>39</v>
      </c>
      <c r="B14" s="4" t="s">
        <v>154</v>
      </c>
      <c r="C14" s="4">
        <v>3.3000000000000002E-2</v>
      </c>
      <c r="D14" s="4">
        <v>5.1499999999999997E-2</v>
      </c>
      <c r="E14" s="4">
        <v>3.4000000000000002E-2</v>
      </c>
      <c r="F14" s="4" t="s">
        <v>146</v>
      </c>
      <c r="G14" s="6">
        <f t="shared" si="0"/>
        <v>153.52473208504105</v>
      </c>
    </row>
    <row r="15" spans="1:7" ht="20.399999999999999" x14ac:dyDescent="0.35">
      <c r="A15" s="4" t="s">
        <v>18</v>
      </c>
      <c r="B15" s="4" t="s">
        <v>156</v>
      </c>
      <c r="C15" s="4">
        <v>5.5E-2</v>
      </c>
      <c r="D15" s="4">
        <v>9.7000000000000003E-2</v>
      </c>
      <c r="E15" s="4">
        <v>0.104</v>
      </c>
      <c r="F15" s="4" t="s">
        <v>157</v>
      </c>
      <c r="G15" s="6">
        <f t="shared" si="0"/>
        <v>1562.4023178733128</v>
      </c>
    </row>
    <row r="16" spans="1:7" ht="20.399999999999999" x14ac:dyDescent="0.35">
      <c r="A16" s="4" t="s">
        <v>55</v>
      </c>
      <c r="B16" s="4" t="s">
        <v>159</v>
      </c>
      <c r="C16" s="4">
        <v>4.2999999999999997E-2</v>
      </c>
      <c r="D16" s="4">
        <v>5.1999999999999998E-2</v>
      </c>
      <c r="E16" s="4">
        <v>5.1999999999999998E-2</v>
      </c>
      <c r="F16" s="4" t="s">
        <v>160</v>
      </c>
      <c r="G16" s="6">
        <f t="shared" ref="G16:G27" si="1">10^(LOG10(C16*D16*E16)*1.0257+6.5333)</f>
        <v>314.52694308788722</v>
      </c>
    </row>
    <row r="17" spans="1:7" ht="20.399999999999999" x14ac:dyDescent="0.35">
      <c r="A17" s="4" t="s">
        <v>51</v>
      </c>
      <c r="B17" s="4" t="s">
        <v>163</v>
      </c>
      <c r="C17" s="4">
        <v>5.3749999999999999E-2</v>
      </c>
      <c r="D17" s="4">
        <v>0.115</v>
      </c>
      <c r="E17" s="4">
        <v>7.5499999999999998E-2</v>
      </c>
      <c r="F17" s="4" t="s">
        <v>164</v>
      </c>
      <c r="G17" s="6">
        <f t="shared" si="1"/>
        <v>1308.3295736943462</v>
      </c>
    </row>
    <row r="18" spans="1:7" ht="20.399999999999999" x14ac:dyDescent="0.35">
      <c r="A18" s="4" t="s">
        <v>36</v>
      </c>
      <c r="B18" s="4" t="s">
        <v>165</v>
      </c>
      <c r="C18" s="4">
        <v>3.6999999999999998E-2</v>
      </c>
      <c r="D18" s="4">
        <v>4.9000000000000002E-2</v>
      </c>
      <c r="E18" s="4">
        <v>4.2999999999999997E-2</v>
      </c>
      <c r="F18" s="4" t="s">
        <v>146</v>
      </c>
      <c r="G18" s="6">
        <f t="shared" si="1"/>
        <v>208.7311291869317</v>
      </c>
    </row>
    <row r="19" spans="1:7" ht="20.399999999999999" x14ac:dyDescent="0.35">
      <c r="A19" s="4" t="s">
        <v>170</v>
      </c>
      <c r="B19" s="4" t="s">
        <v>171</v>
      </c>
      <c r="C19" s="4">
        <v>5.6009999999999997E-2</v>
      </c>
      <c r="D19" s="4">
        <v>6.6900000000000001E-2</v>
      </c>
      <c r="E19" s="4">
        <v>5.2780000000000001E-2</v>
      </c>
      <c r="F19" s="4" t="s">
        <v>172</v>
      </c>
      <c r="G19" s="6">
        <f t="shared" si="1"/>
        <v>542.34097306007163</v>
      </c>
    </row>
    <row r="20" spans="1:7" ht="20.399999999999999" x14ac:dyDescent="0.35">
      <c r="A20" s="4" t="s">
        <v>65</v>
      </c>
      <c r="B20" s="4" t="s">
        <v>173</v>
      </c>
      <c r="C20" s="4">
        <v>0.05</v>
      </c>
      <c r="D20" s="4">
        <v>6.3125000000000001E-2</v>
      </c>
      <c r="E20" s="4">
        <v>5.1888888889999998E-2</v>
      </c>
      <c r="F20" s="4" t="s">
        <v>174</v>
      </c>
      <c r="G20" s="6">
        <f t="shared" si="1"/>
        <v>446.94273554906448</v>
      </c>
    </row>
    <row r="21" spans="1:7" ht="20.399999999999999" x14ac:dyDescent="0.35">
      <c r="A21" s="4" t="s">
        <v>79</v>
      </c>
      <c r="B21" s="4" t="s">
        <v>175</v>
      </c>
      <c r="C21" s="4">
        <v>9.6571428570000006E-2</v>
      </c>
      <c r="D21" s="4">
        <v>0.125</v>
      </c>
      <c r="E21" s="4">
        <v>8.833333333E-2</v>
      </c>
      <c r="F21" s="4" t="s">
        <v>176</v>
      </c>
      <c r="G21" s="6">
        <f t="shared" si="1"/>
        <v>3053.5138109335267</v>
      </c>
    </row>
    <row r="22" spans="1:7" ht="20.399999999999999" x14ac:dyDescent="0.35">
      <c r="A22" s="4" t="s">
        <v>40</v>
      </c>
      <c r="B22" s="4" t="s">
        <v>178</v>
      </c>
      <c r="C22" s="4">
        <v>4.5762500000000005E-2</v>
      </c>
      <c r="D22" s="4">
        <v>4.4964285709999996E-2</v>
      </c>
      <c r="E22" s="4">
        <v>5.5913333330000002E-2</v>
      </c>
      <c r="F22" s="4" t="s">
        <v>179</v>
      </c>
      <c r="G22" s="6">
        <f t="shared" si="1"/>
        <v>311.14137752268101</v>
      </c>
    </row>
    <row r="23" spans="1:7" ht="20.399999999999999" x14ac:dyDescent="0.35">
      <c r="A23" s="4" t="s">
        <v>45</v>
      </c>
      <c r="B23" s="4" t="s">
        <v>180</v>
      </c>
      <c r="C23" s="4">
        <v>0.03</v>
      </c>
      <c r="D23" s="4">
        <v>4.8000000000000001E-2</v>
      </c>
      <c r="E23" s="4">
        <v>4.1000000000000002E-2</v>
      </c>
      <c r="F23" s="4" t="s">
        <v>181</v>
      </c>
      <c r="G23" s="6">
        <f t="shared" si="1"/>
        <v>156.95126123828641</v>
      </c>
    </row>
    <row r="24" spans="1:7" ht="20.399999999999999" x14ac:dyDescent="0.35">
      <c r="A24" s="4" t="s">
        <v>67</v>
      </c>
      <c r="B24" s="4" t="s">
        <v>183</v>
      </c>
      <c r="C24" s="4">
        <v>9.4729999999999995E-2</v>
      </c>
      <c r="D24" s="4">
        <v>0.13800000000000001</v>
      </c>
      <c r="E24" s="4">
        <v>0.10335999999999999</v>
      </c>
      <c r="F24" s="4" t="s">
        <v>182</v>
      </c>
      <c r="G24" s="6">
        <f t="shared" si="1"/>
        <v>3892.9480284974525</v>
      </c>
    </row>
    <row r="25" spans="1:7" ht="20.399999999999999" x14ac:dyDescent="0.35">
      <c r="A25" s="4" t="s">
        <v>41</v>
      </c>
      <c r="B25" s="4" t="s">
        <v>184</v>
      </c>
      <c r="C25" s="4">
        <v>5.5879999999999999E-2</v>
      </c>
      <c r="D25" s="4">
        <v>0.10668</v>
      </c>
      <c r="E25" s="4">
        <v>9.1439999999999994E-2</v>
      </c>
      <c r="F25" s="4" t="s">
        <v>185</v>
      </c>
      <c r="G25" s="6">
        <f t="shared" si="1"/>
        <v>1534.2744233508558</v>
      </c>
    </row>
    <row r="26" spans="1:7" ht="20.399999999999999" x14ac:dyDescent="0.35">
      <c r="A26" s="4" t="s">
        <v>19</v>
      </c>
      <c r="B26" s="4" t="s">
        <v>193</v>
      </c>
      <c r="C26" s="4">
        <v>7.9315789469999995E-2</v>
      </c>
      <c r="D26" s="4">
        <v>0.10730000000000001</v>
      </c>
      <c r="E26" s="4">
        <v>9.9699999999999997E-2</v>
      </c>
      <c r="F26" s="4" t="s">
        <v>194</v>
      </c>
      <c r="G26" s="6">
        <f t="shared" si="1"/>
        <v>2415.5773741929775</v>
      </c>
    </row>
    <row r="27" spans="1:7" ht="20.399999999999999" x14ac:dyDescent="0.35">
      <c r="A27" s="4" t="s">
        <v>47</v>
      </c>
      <c r="B27" s="4" t="s">
        <v>186</v>
      </c>
      <c r="C27" s="4">
        <v>4.1000000000000002E-2</v>
      </c>
      <c r="D27" s="4">
        <v>5.8666666669999999E-2</v>
      </c>
      <c r="E27" s="4">
        <v>5.3499999999999999E-2</v>
      </c>
      <c r="F27" s="4" t="s">
        <v>187</v>
      </c>
      <c r="G27" s="6">
        <f t="shared" si="1"/>
        <v>349.01488426260892</v>
      </c>
    </row>
    <row r="28" spans="1:7" ht="20.399999999999999" x14ac:dyDescent="0.35">
      <c r="A28" s="4" t="s">
        <v>59</v>
      </c>
      <c r="B28" s="4" t="s">
        <v>199</v>
      </c>
      <c r="C28" s="4">
        <v>8.9166670000000003E-2</v>
      </c>
      <c r="D28" s="4">
        <v>0.12266667000000001</v>
      </c>
      <c r="E28" s="4">
        <v>0.1</v>
      </c>
      <c r="F28" s="4" t="s">
        <v>201</v>
      </c>
      <c r="G28" s="6">
        <f t="shared" ref="G28" si="2">10^(LOG10(C28*D28*E28)*1.0257+6.5333)</f>
        <v>3134.2208985835214</v>
      </c>
    </row>
    <row r="30" spans="1:7" ht="17.399999999999999" x14ac:dyDescent="0.3">
      <c r="A30" s="1"/>
    </row>
    <row r="31" spans="1:7" ht="17.399999999999999" x14ac:dyDescent="0.3">
      <c r="A31" s="1"/>
      <c r="G31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7C31-480D-4D54-8B0B-914F28516D80}">
  <dimension ref="A1:D22"/>
  <sheetViews>
    <sheetView workbookViewId="0">
      <selection activeCell="C1" sqref="C1"/>
    </sheetView>
  </sheetViews>
  <sheetFormatPr defaultRowHeight="17.399999999999999" x14ac:dyDescent="0.3"/>
  <cols>
    <col min="1" max="1" width="42" style="2" bestFit="1" customWidth="1"/>
    <col min="2" max="2" width="28.33203125" style="2" bestFit="1" customWidth="1"/>
    <col min="3" max="3" width="9.5546875" style="2" bestFit="1" customWidth="1"/>
    <col min="4" max="4" width="16.5546875" style="2" bestFit="1" customWidth="1"/>
    <col min="5" max="16384" width="8.88671875" style="2"/>
  </cols>
  <sheetData>
    <row r="1" spans="1:4" ht="20.399999999999999" x14ac:dyDescent="0.35">
      <c r="A1" s="5" t="s">
        <v>376</v>
      </c>
      <c r="B1" s="5" t="s">
        <v>85</v>
      </c>
      <c r="C1" s="5" t="s">
        <v>83</v>
      </c>
      <c r="D1" s="5" t="s">
        <v>107</v>
      </c>
    </row>
    <row r="2" spans="1:4" ht="20.399999999999999" x14ac:dyDescent="0.35">
      <c r="A2" s="4" t="s">
        <v>0</v>
      </c>
      <c r="B2" s="4" t="s">
        <v>84</v>
      </c>
      <c r="C2" s="4">
        <v>604</v>
      </c>
      <c r="D2" s="4" t="s">
        <v>87</v>
      </c>
    </row>
    <row r="3" spans="1:4" ht="20.399999999999999" x14ac:dyDescent="0.35">
      <c r="A3" s="4" t="s">
        <v>3</v>
      </c>
      <c r="B3" s="4" t="s">
        <v>86</v>
      </c>
      <c r="C3" s="4">
        <v>374</v>
      </c>
      <c r="D3" s="4" t="s">
        <v>87</v>
      </c>
    </row>
    <row r="4" spans="1:4" ht="20.399999999999999" x14ac:dyDescent="0.35">
      <c r="A4" s="4" t="s">
        <v>14</v>
      </c>
      <c r="B4" s="4" t="s">
        <v>88</v>
      </c>
      <c r="C4" s="4">
        <v>1035</v>
      </c>
      <c r="D4" s="4" t="s">
        <v>202</v>
      </c>
    </row>
    <row r="5" spans="1:4" ht="20.399999999999999" x14ac:dyDescent="0.35">
      <c r="A5" s="4" t="s">
        <v>16</v>
      </c>
      <c r="B5" s="4" t="s">
        <v>89</v>
      </c>
      <c r="C5" s="4">
        <v>10893</v>
      </c>
      <c r="D5" s="4" t="s">
        <v>202</v>
      </c>
    </row>
    <row r="6" spans="1:4" ht="20.399999999999999" x14ac:dyDescent="0.35">
      <c r="A6" s="4" t="s">
        <v>22</v>
      </c>
      <c r="B6" s="4" t="s">
        <v>257</v>
      </c>
      <c r="C6" s="4">
        <v>1795</v>
      </c>
      <c r="D6" s="4" t="s">
        <v>202</v>
      </c>
    </row>
    <row r="7" spans="1:4" ht="20.399999999999999" x14ac:dyDescent="0.35">
      <c r="A7" s="4" t="s">
        <v>23</v>
      </c>
      <c r="B7" s="4" t="s">
        <v>90</v>
      </c>
      <c r="C7" s="4">
        <v>11396</v>
      </c>
      <c r="D7" s="4" t="s">
        <v>202</v>
      </c>
    </row>
    <row r="8" spans="1:4" ht="20.399999999999999" x14ac:dyDescent="0.35">
      <c r="A8" s="4" t="s">
        <v>26</v>
      </c>
      <c r="B8" s="4" t="s">
        <v>91</v>
      </c>
      <c r="C8" s="4">
        <v>12824</v>
      </c>
      <c r="D8" s="4" t="s">
        <v>202</v>
      </c>
    </row>
    <row r="9" spans="1:4" ht="20.399999999999999" x14ac:dyDescent="0.35">
      <c r="A9" s="4" t="s">
        <v>30</v>
      </c>
      <c r="B9" s="4" t="s">
        <v>92</v>
      </c>
      <c r="C9" s="4">
        <v>199</v>
      </c>
      <c r="D9" s="4" t="s">
        <v>202</v>
      </c>
    </row>
    <row r="10" spans="1:4" ht="20.399999999999999" x14ac:dyDescent="0.35">
      <c r="A10" s="4" t="s">
        <v>31</v>
      </c>
      <c r="B10" s="4" t="s">
        <v>93</v>
      </c>
      <c r="C10" s="4">
        <v>223</v>
      </c>
      <c r="D10" s="4" t="s">
        <v>202</v>
      </c>
    </row>
    <row r="11" spans="1:4" ht="20.399999999999999" x14ac:dyDescent="0.35">
      <c r="A11" s="4" t="s">
        <v>34</v>
      </c>
      <c r="B11" s="4" t="s">
        <v>94</v>
      </c>
      <c r="C11" s="4">
        <v>131</v>
      </c>
      <c r="D11" s="4" t="s">
        <v>202</v>
      </c>
    </row>
    <row r="12" spans="1:4" ht="20.399999999999999" x14ac:dyDescent="0.35">
      <c r="A12" s="4" t="s">
        <v>35</v>
      </c>
      <c r="B12" s="4" t="s">
        <v>95</v>
      </c>
      <c r="C12" s="4">
        <v>360</v>
      </c>
      <c r="D12" s="4" t="s">
        <v>202</v>
      </c>
    </row>
    <row r="13" spans="1:4" ht="20.399999999999999" x14ac:dyDescent="0.35">
      <c r="A13" s="4" t="s">
        <v>44</v>
      </c>
      <c r="B13" s="4" t="s">
        <v>96</v>
      </c>
      <c r="C13" s="4">
        <v>1238</v>
      </c>
      <c r="D13" s="4" t="s">
        <v>202</v>
      </c>
    </row>
    <row r="14" spans="1:4" ht="20.399999999999999" x14ac:dyDescent="0.35">
      <c r="A14" s="4" t="s">
        <v>50</v>
      </c>
      <c r="B14" s="4" t="s">
        <v>97</v>
      </c>
      <c r="C14" s="4">
        <v>1039</v>
      </c>
      <c r="D14" s="4" t="s">
        <v>202</v>
      </c>
    </row>
    <row r="15" spans="1:4" ht="20.399999999999999" x14ac:dyDescent="0.35">
      <c r="A15" s="4" t="s">
        <v>53</v>
      </c>
      <c r="B15" s="4" t="s">
        <v>98</v>
      </c>
      <c r="C15" s="4">
        <v>425</v>
      </c>
      <c r="D15" s="4" t="s">
        <v>202</v>
      </c>
    </row>
    <row r="16" spans="1:4" ht="20.399999999999999" x14ac:dyDescent="0.35">
      <c r="A16" s="4" t="s">
        <v>54</v>
      </c>
      <c r="B16" s="4" t="s">
        <v>99</v>
      </c>
      <c r="C16" s="4">
        <v>1272</v>
      </c>
      <c r="D16" s="4" t="s">
        <v>202</v>
      </c>
    </row>
    <row r="17" spans="1:4" ht="20.399999999999999" x14ac:dyDescent="0.35">
      <c r="A17" s="4" t="s">
        <v>63</v>
      </c>
      <c r="B17" s="4" t="s">
        <v>100</v>
      </c>
      <c r="C17" s="4">
        <v>4166</v>
      </c>
      <c r="D17" s="4" t="s">
        <v>202</v>
      </c>
    </row>
    <row r="18" spans="1:4" ht="20.399999999999999" x14ac:dyDescent="0.35">
      <c r="A18" s="4" t="s">
        <v>64</v>
      </c>
      <c r="B18" s="4" t="s">
        <v>101</v>
      </c>
      <c r="C18" s="4">
        <v>3107</v>
      </c>
      <c r="D18" s="4" t="s">
        <v>202</v>
      </c>
    </row>
    <row r="19" spans="1:4" ht="20.399999999999999" x14ac:dyDescent="0.35">
      <c r="A19" s="4" t="s">
        <v>66</v>
      </c>
      <c r="B19" s="4" t="s">
        <v>102</v>
      </c>
      <c r="C19" s="4">
        <v>839</v>
      </c>
      <c r="D19" s="4" t="s">
        <v>202</v>
      </c>
    </row>
    <row r="20" spans="1:4" ht="20.399999999999999" x14ac:dyDescent="0.35">
      <c r="A20" s="4" t="s">
        <v>68</v>
      </c>
      <c r="B20" s="4" t="s">
        <v>103</v>
      </c>
      <c r="C20" s="4">
        <v>1877</v>
      </c>
      <c r="D20" s="4" t="s">
        <v>202</v>
      </c>
    </row>
    <row r="21" spans="1:4" ht="20.399999999999999" x14ac:dyDescent="0.35">
      <c r="A21" s="4" t="s">
        <v>75</v>
      </c>
      <c r="B21" s="4" t="s">
        <v>104</v>
      </c>
      <c r="C21" s="4">
        <v>6791</v>
      </c>
      <c r="D21" s="4" t="s">
        <v>202</v>
      </c>
    </row>
    <row r="22" spans="1:4" ht="20.399999999999999" x14ac:dyDescent="0.35">
      <c r="A22" s="4" t="s">
        <v>78</v>
      </c>
      <c r="B22" s="4" t="s">
        <v>105</v>
      </c>
      <c r="C22" s="4">
        <v>3080</v>
      </c>
      <c r="D22" s="4" t="s">
        <v>202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B625-5E0C-429B-B9D3-DA7C2445B04E}">
  <dimension ref="A1:X12"/>
  <sheetViews>
    <sheetView workbookViewId="0">
      <pane xSplit="1" topLeftCell="B1" activePane="topRight" state="frozen"/>
      <selection pane="topRight"/>
    </sheetView>
  </sheetViews>
  <sheetFormatPr defaultRowHeight="13.8" x14ac:dyDescent="0.25"/>
  <cols>
    <col min="1" max="1" width="41.77734375" bestFit="1" customWidth="1"/>
    <col min="2" max="2" width="26.88671875" bestFit="1" customWidth="1"/>
    <col min="3" max="3" width="15.44140625" bestFit="1" customWidth="1"/>
    <col min="4" max="4" width="20.21875" bestFit="1" customWidth="1"/>
    <col min="5" max="5" width="12.77734375" bestFit="1" customWidth="1"/>
    <col min="6" max="6" width="17.5546875" bestFit="1" customWidth="1"/>
    <col min="7" max="7" width="14.44140625" bestFit="1" customWidth="1"/>
    <col min="8" max="8" width="15.21875" bestFit="1" customWidth="1"/>
    <col min="9" max="10" width="16.21875" bestFit="1" customWidth="1"/>
    <col min="11" max="11" width="14.33203125" bestFit="1" customWidth="1"/>
    <col min="12" max="12" width="13.6640625" bestFit="1" customWidth="1"/>
    <col min="13" max="13" width="43.21875" bestFit="1" customWidth="1"/>
    <col min="14" max="14" width="14.109375" customWidth="1"/>
    <col min="15" max="16" width="14.21875" customWidth="1"/>
    <col min="17" max="18" width="14.109375" customWidth="1"/>
    <col min="19" max="19" width="14.44140625" customWidth="1"/>
    <col min="20" max="21" width="14.33203125" customWidth="1"/>
    <col min="22" max="22" width="14.5546875" customWidth="1"/>
    <col min="23" max="23" width="15.88671875" customWidth="1"/>
  </cols>
  <sheetData>
    <row r="1" spans="1:24" s="9" customFormat="1" ht="20.399999999999999" x14ac:dyDescent="0.35">
      <c r="A1" s="5" t="s">
        <v>376</v>
      </c>
      <c r="B1" s="5" t="s">
        <v>85</v>
      </c>
      <c r="C1" s="5" t="s">
        <v>195</v>
      </c>
      <c r="D1" s="5" t="s">
        <v>196</v>
      </c>
      <c r="E1" s="5" t="s">
        <v>197</v>
      </c>
      <c r="F1" s="5" t="s">
        <v>198</v>
      </c>
      <c r="G1" s="5" t="s">
        <v>209</v>
      </c>
      <c r="H1" s="5" t="s">
        <v>210</v>
      </c>
      <c r="I1" s="5" t="s">
        <v>212</v>
      </c>
      <c r="J1" s="5" t="s">
        <v>211</v>
      </c>
      <c r="K1" s="5" t="s">
        <v>213</v>
      </c>
      <c r="L1" s="5" t="s">
        <v>214</v>
      </c>
      <c r="M1" s="5" t="s">
        <v>107</v>
      </c>
      <c r="N1" s="5" t="s">
        <v>361</v>
      </c>
      <c r="O1" s="5" t="s">
        <v>362</v>
      </c>
      <c r="P1" s="5" t="s">
        <v>363</v>
      </c>
      <c r="Q1" s="5" t="s">
        <v>364</v>
      </c>
      <c r="R1" s="5" t="s">
        <v>365</v>
      </c>
      <c r="S1" s="5" t="s">
        <v>366</v>
      </c>
      <c r="T1" s="5" t="s">
        <v>367</v>
      </c>
      <c r="U1" s="5" t="s">
        <v>368</v>
      </c>
      <c r="V1" s="5" t="s">
        <v>369</v>
      </c>
      <c r="W1" s="5" t="s">
        <v>370</v>
      </c>
      <c r="X1" s="5" t="s">
        <v>242</v>
      </c>
    </row>
    <row r="2" spans="1:24" ht="20.399999999999999" x14ac:dyDescent="0.35">
      <c r="A2" s="4" t="s">
        <v>60</v>
      </c>
      <c r="B2" s="4" t="s">
        <v>200</v>
      </c>
      <c r="C2" s="4">
        <v>0.34</v>
      </c>
      <c r="D2" s="4">
        <v>0.216</v>
      </c>
      <c r="E2" s="4">
        <v>0.35899999999999999</v>
      </c>
      <c r="F2" s="4">
        <v>0.22700000000000001</v>
      </c>
      <c r="G2" s="4" t="s">
        <v>203</v>
      </c>
      <c r="H2" s="4" t="s">
        <v>203</v>
      </c>
      <c r="I2" s="4" t="s">
        <v>203</v>
      </c>
      <c r="J2" s="4" t="s">
        <v>203</v>
      </c>
      <c r="K2" s="4" t="s">
        <v>203</v>
      </c>
      <c r="L2" s="4" t="s">
        <v>203</v>
      </c>
      <c r="M2" s="4" t="s">
        <v>216</v>
      </c>
      <c r="N2" s="4">
        <f>10^(LOG10(C2)*2.9617+4.251)</f>
        <v>730.09791569188803</v>
      </c>
      <c r="O2" s="4">
        <f>10^(LOG10(D2)*3.4183+5.3925)</f>
        <v>1310.5791592759781</v>
      </c>
      <c r="P2" s="4">
        <f>10^(LOG10(E2)*2.5684+4.0469)</f>
        <v>802.05579630020998</v>
      </c>
      <c r="Q2" s="4">
        <f>10^(LOG10(F2)*3.1556+5.2276)</f>
        <v>1568.4663110415886</v>
      </c>
      <c r="R2" s="4" t="s">
        <v>203</v>
      </c>
      <c r="S2" s="4" t="s">
        <v>203</v>
      </c>
      <c r="T2" s="4" t="s">
        <v>203</v>
      </c>
      <c r="U2" s="4" t="s">
        <v>203</v>
      </c>
      <c r="V2" s="4" t="s">
        <v>203</v>
      </c>
      <c r="W2" s="4" t="s">
        <v>203</v>
      </c>
      <c r="X2" s="4">
        <f>AVERAGE(N2:W2)</f>
        <v>1102.7997955774163</v>
      </c>
    </row>
    <row r="3" spans="1:24" ht="20.399999999999999" x14ac:dyDescent="0.35">
      <c r="A3" s="4" t="s">
        <v>13</v>
      </c>
      <c r="B3" s="4" t="s">
        <v>204</v>
      </c>
      <c r="C3" s="4">
        <v>0.42</v>
      </c>
      <c r="D3" s="4">
        <v>0.18</v>
      </c>
      <c r="E3" s="4">
        <v>0.51</v>
      </c>
      <c r="F3" s="4">
        <v>0.19</v>
      </c>
      <c r="G3" s="4" t="s">
        <v>203</v>
      </c>
      <c r="H3" s="4" t="s">
        <v>203</v>
      </c>
      <c r="I3" s="4" t="s">
        <v>203</v>
      </c>
      <c r="J3" s="4" t="s">
        <v>203</v>
      </c>
      <c r="K3" s="4" t="s">
        <v>203</v>
      </c>
      <c r="L3" s="4" t="s">
        <v>203</v>
      </c>
      <c r="M3" s="4" t="s">
        <v>220</v>
      </c>
      <c r="N3" s="4">
        <f t="shared" ref="N3:N4" si="0">10^(LOG10(C3)*2.9617+4.251)</f>
        <v>1365.1407269158451</v>
      </c>
      <c r="O3" s="4">
        <f t="shared" ref="O3:O4" si="1">10^(LOG10(D3)*3.4183+5.3925)</f>
        <v>702.7453881740671</v>
      </c>
      <c r="P3" s="4">
        <f t="shared" ref="P3:P4" si="2">10^(LOG10(E3)*2.5684+4.0469)</f>
        <v>1976.1651687426481</v>
      </c>
      <c r="Q3" s="4">
        <f t="shared" ref="Q3:Q4" si="3">10^(LOG10(F3)*3.1556+5.2276)</f>
        <v>894.61229626356817</v>
      </c>
      <c r="R3" s="4" t="s">
        <v>203</v>
      </c>
      <c r="S3" s="4" t="s">
        <v>203</v>
      </c>
      <c r="T3" s="4" t="s">
        <v>203</v>
      </c>
      <c r="U3" s="4" t="s">
        <v>203</v>
      </c>
      <c r="V3" s="4" t="s">
        <v>203</v>
      </c>
      <c r="W3" s="4" t="s">
        <v>203</v>
      </c>
      <c r="X3" s="4">
        <f t="shared" ref="X3:X4" si="4">AVERAGE(N3:W3)</f>
        <v>1234.6658950240321</v>
      </c>
    </row>
    <row r="4" spans="1:24" ht="20.399999999999999" x14ac:dyDescent="0.35">
      <c r="A4" s="4" t="s">
        <v>2</v>
      </c>
      <c r="B4" s="4" t="s">
        <v>222</v>
      </c>
      <c r="C4" s="4">
        <v>0.375</v>
      </c>
      <c r="D4" s="4">
        <v>0.193</v>
      </c>
      <c r="E4" s="4">
        <v>0.34499999999999997</v>
      </c>
      <c r="F4" s="4">
        <v>0.16800000000000001</v>
      </c>
      <c r="G4" s="4">
        <v>0.22600000000000001</v>
      </c>
      <c r="H4" s="4">
        <v>0.35499999999999998</v>
      </c>
      <c r="I4" s="4">
        <v>0.23499999999999999</v>
      </c>
      <c r="J4" s="4">
        <v>0.24199999999999999</v>
      </c>
      <c r="K4" s="4">
        <v>0.245</v>
      </c>
      <c r="L4" s="4">
        <v>0.21199999999999999</v>
      </c>
      <c r="M4" s="4" t="s">
        <v>113</v>
      </c>
      <c r="N4" s="4">
        <f t="shared" si="0"/>
        <v>975.90693821054526</v>
      </c>
      <c r="O4" s="4">
        <f t="shared" si="1"/>
        <v>891.90900635103287</v>
      </c>
      <c r="P4" s="4">
        <f t="shared" si="2"/>
        <v>724.16005254364268</v>
      </c>
      <c r="Q4" s="4">
        <f t="shared" si="3"/>
        <v>606.7167283063884</v>
      </c>
      <c r="R4" s="4">
        <f>10^(LOG10(G4)*2.7437+4.612)</f>
        <v>691.61965115224757</v>
      </c>
      <c r="S4" s="4">
        <f t="shared" ref="S4" si="5">10^(LOG10(H4)*2.5219+3.7767)</f>
        <v>438.95589274638843</v>
      </c>
      <c r="T4" s="4">
        <f t="shared" ref="T4" si="6">10^(LOG10(I4)*2.3601+4.1001)</f>
        <v>412.8167037216935</v>
      </c>
      <c r="U4" s="4">
        <f t="shared" ref="U4" si="7">10^(LOG10(J4)*2.9436+4.4309)</f>
        <v>414.09397468128878</v>
      </c>
      <c r="V4" s="4">
        <f t="shared" ref="V4" si="8">10^(LOG10(K4)*2.0943+3.9879)</f>
        <v>511.24671500715311</v>
      </c>
      <c r="W4" s="4">
        <f t="shared" ref="W4" si="9">10^(LOG10(L4)*2.9946+4.8402)</f>
        <v>665.03632737984356</v>
      </c>
      <c r="X4" s="4">
        <f t="shared" si="4"/>
        <v>633.24619901002256</v>
      </c>
    </row>
    <row r="5" spans="1:24" ht="20.399999999999999" x14ac:dyDescent="0.35">
      <c r="A5" s="4" t="s">
        <v>205</v>
      </c>
      <c r="B5" s="4" t="s">
        <v>206</v>
      </c>
      <c r="C5" s="4">
        <v>0.14899999999999999</v>
      </c>
      <c r="D5" s="4">
        <v>6.9000000000000006E-2</v>
      </c>
      <c r="E5" s="4">
        <v>0.158</v>
      </c>
      <c r="F5" s="4">
        <v>7.6999999999999999E-2</v>
      </c>
      <c r="G5" s="4" t="s">
        <v>203</v>
      </c>
      <c r="H5" s="4" t="s">
        <v>203</v>
      </c>
      <c r="I5" s="4" t="s">
        <v>203</v>
      </c>
      <c r="J5" s="4" t="s">
        <v>203</v>
      </c>
      <c r="K5" s="4" t="s">
        <v>203</v>
      </c>
      <c r="L5" s="4" t="s">
        <v>203</v>
      </c>
      <c r="M5" s="4" t="s">
        <v>217</v>
      </c>
      <c r="N5" s="4">
        <f t="shared" ref="N5:N10" si="10">10^(LOG10(C5)*2.9617+4.251)</f>
        <v>63.419931872037601</v>
      </c>
      <c r="O5" s="4">
        <f t="shared" ref="O5:O10" si="11">10^(LOG10(D5)*3.4183+5.3925)</f>
        <v>26.505612644996685</v>
      </c>
      <c r="P5" s="4">
        <f>10^(LOG10(E5)*2.5684+4.0469)</f>
        <v>97.438561130197769</v>
      </c>
      <c r="Q5" s="4">
        <f>10^(LOG10(F5)*3.1556+5.2276)</f>
        <v>51.738059073596517</v>
      </c>
      <c r="R5" s="4" t="s">
        <v>203</v>
      </c>
      <c r="S5" s="4" t="s">
        <v>203</v>
      </c>
      <c r="T5" s="4" t="s">
        <v>203</v>
      </c>
      <c r="U5" s="4" t="s">
        <v>203</v>
      </c>
      <c r="V5" s="4" t="s">
        <v>203</v>
      </c>
      <c r="W5" s="4" t="s">
        <v>203</v>
      </c>
      <c r="X5" s="4">
        <f t="shared" ref="X5:X11" si="12">AVERAGE(N5:W5)</f>
        <v>59.775541180207142</v>
      </c>
    </row>
    <row r="6" spans="1:24" ht="20.399999999999999" x14ac:dyDescent="0.35">
      <c r="A6" s="4" t="s">
        <v>15</v>
      </c>
      <c r="B6" s="4" t="s">
        <v>215</v>
      </c>
      <c r="C6" s="4">
        <v>0.43</v>
      </c>
      <c r="D6" s="4">
        <v>0.218</v>
      </c>
      <c r="E6" s="4">
        <v>0.5</v>
      </c>
      <c r="F6" s="4">
        <v>0.27500000000000002</v>
      </c>
      <c r="G6" s="4">
        <v>0.34300000000000003</v>
      </c>
      <c r="H6" s="4">
        <v>0.61</v>
      </c>
      <c r="I6" s="4">
        <v>0.6</v>
      </c>
      <c r="J6" s="4">
        <v>0.48</v>
      </c>
      <c r="K6" s="4">
        <v>0.61</v>
      </c>
      <c r="L6" s="4">
        <v>0.32</v>
      </c>
      <c r="M6" s="4" t="s">
        <v>157</v>
      </c>
      <c r="N6" s="4">
        <f t="shared" si="10"/>
        <v>1463.6711912080334</v>
      </c>
      <c r="O6" s="4">
        <f t="shared" si="11"/>
        <v>1352.5266529482369</v>
      </c>
      <c r="P6" s="4">
        <f>10^(LOG10(E6)*2.5684+4.0469)</f>
        <v>1878.168528988439</v>
      </c>
      <c r="Q6" s="4">
        <f>10^(LOG10(F6)*3.1556+5.2276)</f>
        <v>2873.1496601830463</v>
      </c>
      <c r="R6" s="4">
        <f>10^(LOG10(G6)*2.7437+4.612)</f>
        <v>2172.6335274629578</v>
      </c>
      <c r="S6" s="4">
        <f>10^(LOG10(H6)*2.5219+3.7767)</f>
        <v>1719.187761742344</v>
      </c>
      <c r="T6" s="4">
        <f>10^(LOG10(I6)*2.3601+4.1001)</f>
        <v>3771.5056792839373</v>
      </c>
      <c r="U6" s="4">
        <f>10^(LOG10(J6)*2.9436+4.4309)</f>
        <v>3108.8638745523813</v>
      </c>
      <c r="V6" s="4">
        <f>10^(LOG10(K6)*2.0943+3.9879)</f>
        <v>3453.9518062170446</v>
      </c>
      <c r="W6" s="4">
        <f>10^(LOG10(L6)*2.9946+4.8402)</f>
        <v>2282.03407565321</v>
      </c>
      <c r="X6" s="4">
        <f t="shared" si="12"/>
        <v>2407.5692758239629</v>
      </c>
    </row>
    <row r="7" spans="1:24" ht="20.399999999999999" x14ac:dyDescent="0.35">
      <c r="A7" s="4" t="s">
        <v>207</v>
      </c>
      <c r="B7" s="4" t="s">
        <v>208</v>
      </c>
      <c r="C7" s="4">
        <v>0.38</v>
      </c>
      <c r="D7" s="4">
        <v>0.28000000000000003</v>
      </c>
      <c r="E7" s="4">
        <v>0.28999999999999998</v>
      </c>
      <c r="F7" s="4">
        <v>0.185</v>
      </c>
      <c r="G7" s="4">
        <v>0.33</v>
      </c>
      <c r="H7" s="4">
        <v>0.46100000000000002</v>
      </c>
      <c r="I7" s="4">
        <v>0.26</v>
      </c>
      <c r="J7" s="4">
        <v>0.26500000000000001</v>
      </c>
      <c r="K7" s="4">
        <v>0.24</v>
      </c>
      <c r="L7" s="4">
        <v>0.23</v>
      </c>
      <c r="M7" s="4" t="s">
        <v>221</v>
      </c>
      <c r="N7" s="4">
        <f t="shared" si="10"/>
        <v>1014.9510053689834</v>
      </c>
      <c r="O7" s="4">
        <f t="shared" si="11"/>
        <v>3182.1474427906342</v>
      </c>
      <c r="P7" s="4">
        <f>10^(LOG10(E7)*2.5684+4.0469)</f>
        <v>463.57821382345162</v>
      </c>
      <c r="Q7" s="4">
        <f>10^(LOG10(F7)*3.1556+5.2276)</f>
        <v>822.40758313527101</v>
      </c>
      <c r="R7" s="4">
        <f>10^(LOG10(G7)*2.7437+4.612)</f>
        <v>1954.0996045345537</v>
      </c>
      <c r="S7" s="4">
        <f>10^(LOG10(H7)*2.5219+3.7767)</f>
        <v>848.37402628229927</v>
      </c>
      <c r="T7" s="4">
        <f>10^(LOG10(I7)*2.3601+4.1001)</f>
        <v>524.05708709191981</v>
      </c>
      <c r="U7" s="4">
        <f>10^(LOG10(J7)*2.9436+4.4309)</f>
        <v>540.96174522036097</v>
      </c>
      <c r="V7" s="4">
        <f>10^(LOG10(K7)*2.0943+3.9879)</f>
        <v>489.63945235093519</v>
      </c>
      <c r="W7" s="4">
        <f>10^(LOG10(L7)*2.9946+4.8402)</f>
        <v>848.84848473163834</v>
      </c>
      <c r="X7" s="4">
        <f t="shared" si="12"/>
        <v>1068.9064645330047</v>
      </c>
    </row>
    <row r="8" spans="1:24" ht="20.399999999999999" x14ac:dyDescent="0.35">
      <c r="A8" s="4" t="s">
        <v>57</v>
      </c>
      <c r="B8" s="4" t="s">
        <v>218</v>
      </c>
      <c r="C8" s="4">
        <v>0.45</v>
      </c>
      <c r="D8" s="4">
        <v>0.22800000000000001</v>
      </c>
      <c r="E8" s="4">
        <v>0.49</v>
      </c>
      <c r="F8" s="4">
        <v>0.219</v>
      </c>
      <c r="G8" s="4" t="s">
        <v>203</v>
      </c>
      <c r="H8" s="4" t="s">
        <v>203</v>
      </c>
      <c r="I8" s="4" t="s">
        <v>203</v>
      </c>
      <c r="J8" s="4" t="s">
        <v>203</v>
      </c>
      <c r="K8" s="4" t="s">
        <v>203</v>
      </c>
      <c r="L8" s="4" t="s">
        <v>203</v>
      </c>
      <c r="M8" s="4" t="s">
        <v>219</v>
      </c>
      <c r="N8" s="4">
        <f t="shared" si="10"/>
        <v>1674.6324484678403</v>
      </c>
      <c r="O8" s="4">
        <f t="shared" si="11"/>
        <v>1576.6260119939145</v>
      </c>
      <c r="P8" s="4">
        <f>10^(LOG10(E8)*2.5684+4.0469)</f>
        <v>1783.1981788927101</v>
      </c>
      <c r="Q8" s="4">
        <f>10^(LOG10(F8)*3.1556+5.2276)</f>
        <v>1400.5720291308457</v>
      </c>
      <c r="R8" s="4" t="s">
        <v>203</v>
      </c>
      <c r="S8" s="4" t="s">
        <v>203</v>
      </c>
      <c r="T8" s="4" t="s">
        <v>203</v>
      </c>
      <c r="U8" s="4" t="s">
        <v>203</v>
      </c>
      <c r="V8" s="4" t="s">
        <v>203</v>
      </c>
      <c r="W8" s="4" t="s">
        <v>203</v>
      </c>
      <c r="X8" s="4">
        <f t="shared" si="12"/>
        <v>1608.7571671213277</v>
      </c>
    </row>
    <row r="9" spans="1:24" ht="20.399999999999999" x14ac:dyDescent="0.35">
      <c r="A9" s="4" t="s">
        <v>73</v>
      </c>
      <c r="B9" s="4" t="s">
        <v>223</v>
      </c>
      <c r="C9" s="4">
        <v>0.29399999999999998</v>
      </c>
      <c r="D9" s="4">
        <v>0.216</v>
      </c>
      <c r="E9" s="4" t="s">
        <v>203</v>
      </c>
      <c r="F9" s="4" t="s">
        <v>203</v>
      </c>
      <c r="G9" s="4">
        <v>0.30599999999999999</v>
      </c>
      <c r="H9" s="4">
        <v>0.59699999999999998</v>
      </c>
      <c r="I9" s="4">
        <v>0.433</v>
      </c>
      <c r="J9" s="4">
        <v>0.39</v>
      </c>
      <c r="K9" s="4">
        <v>0.33600000000000002</v>
      </c>
      <c r="L9" s="4">
        <v>0.308</v>
      </c>
      <c r="M9" s="4" t="s">
        <v>356</v>
      </c>
      <c r="N9" s="4">
        <f t="shared" si="10"/>
        <v>474.68366676826884</v>
      </c>
      <c r="O9" s="4">
        <f t="shared" si="11"/>
        <v>1310.5791592759781</v>
      </c>
      <c r="P9" s="4" t="s">
        <v>203</v>
      </c>
      <c r="Q9" s="4" t="s">
        <v>203</v>
      </c>
      <c r="R9" s="4">
        <f>10^(LOG10(G9)*2.7437+4.612)</f>
        <v>1588.4512027640835</v>
      </c>
      <c r="S9" s="4">
        <f>10^(LOG10(H9)*2.5219+3.7767)</f>
        <v>1628.282163927759</v>
      </c>
      <c r="T9" s="4">
        <f>10^(LOG10(I9)*2.3601+4.1001)</f>
        <v>1746.526116432254</v>
      </c>
      <c r="U9" s="4">
        <f>10^(LOG10(J9)*2.9436+4.4309)</f>
        <v>1687.1658538731449</v>
      </c>
      <c r="V9" s="4">
        <f>10^(LOG10(K9)*2.0943+3.9879)</f>
        <v>990.63199069090092</v>
      </c>
      <c r="W9" s="4">
        <f>10^(LOG10(L9)*2.9946+4.8402)</f>
        <v>2035.2322492546859</v>
      </c>
      <c r="X9" s="4">
        <f t="shared" si="12"/>
        <v>1432.6940503733845</v>
      </c>
    </row>
    <row r="10" spans="1:24" ht="20.399999999999999" x14ac:dyDescent="0.35">
      <c r="A10" s="4" t="s">
        <v>69</v>
      </c>
      <c r="B10" s="4" t="s">
        <v>230</v>
      </c>
      <c r="C10" s="4">
        <v>0.39400000000000002</v>
      </c>
      <c r="D10" s="4">
        <v>0.23400000000000001</v>
      </c>
      <c r="E10" s="4">
        <v>0.373</v>
      </c>
      <c r="F10" s="4">
        <v>0.23</v>
      </c>
      <c r="G10" s="4">
        <v>0.28699999999999998</v>
      </c>
      <c r="H10" s="4">
        <v>0.437</v>
      </c>
      <c r="I10" s="4">
        <v>0.35</v>
      </c>
      <c r="J10" s="4">
        <v>0.35</v>
      </c>
      <c r="K10" s="4" t="s">
        <v>203</v>
      </c>
      <c r="L10" s="4" t="s">
        <v>203</v>
      </c>
      <c r="M10" s="4" t="s">
        <v>229</v>
      </c>
      <c r="N10" s="4">
        <f t="shared" si="10"/>
        <v>1129.7469048649896</v>
      </c>
      <c r="O10" s="4">
        <f t="shared" si="11"/>
        <v>1723.0209792465901</v>
      </c>
      <c r="P10" s="4">
        <f>10^(LOG10(E10)*2.5684+4.0469)</f>
        <v>884.86489055440177</v>
      </c>
      <c r="Q10" s="4">
        <f>10^(LOG10(F10)*3.1556+5.2276)</f>
        <v>1634.8140418929916</v>
      </c>
      <c r="R10" s="4">
        <f>10^(LOG10(G10)*2.7437+4.612)</f>
        <v>1332.2648202286448</v>
      </c>
      <c r="S10" s="4">
        <f>10^(LOG10(H10)*2.5219+3.7767)</f>
        <v>741.36168294745039</v>
      </c>
      <c r="T10" s="4">
        <f>10^(LOG10(I10)*2.3601+4.1001)</f>
        <v>1056.9513346051217</v>
      </c>
      <c r="U10" s="4">
        <f>10^(LOG10(J10)*2.9436+4.4309)</f>
        <v>1226.9269198013126</v>
      </c>
      <c r="V10" s="4" t="s">
        <v>203</v>
      </c>
      <c r="W10" s="4" t="s">
        <v>203</v>
      </c>
      <c r="X10" s="4">
        <f t="shared" si="12"/>
        <v>1216.2439467676877</v>
      </c>
    </row>
    <row r="11" spans="1:24" ht="16.8" customHeight="1" x14ac:dyDescent="0.35">
      <c r="A11" s="4" t="s">
        <v>17</v>
      </c>
      <c r="B11" s="4" t="s">
        <v>241</v>
      </c>
      <c r="C11" s="4" t="s">
        <v>203</v>
      </c>
      <c r="D11" s="4" t="s">
        <v>203</v>
      </c>
      <c r="E11" s="4">
        <v>0.53</v>
      </c>
      <c r="F11" s="4">
        <v>0.22900000000000001</v>
      </c>
      <c r="G11" s="4" t="s">
        <v>203</v>
      </c>
      <c r="H11" s="4" t="s">
        <v>203</v>
      </c>
      <c r="I11" s="4" t="s">
        <v>203</v>
      </c>
      <c r="J11" s="4" t="s">
        <v>203</v>
      </c>
      <c r="K11" s="4" t="s">
        <v>203</v>
      </c>
      <c r="L11" s="4" t="s">
        <v>203</v>
      </c>
      <c r="M11" s="4" t="s">
        <v>377</v>
      </c>
      <c r="N11" s="4" t="s">
        <v>203</v>
      </c>
      <c r="O11" s="4" t="s">
        <v>203</v>
      </c>
      <c r="P11" s="4">
        <f>10^(LOG10(E11)*2.5684+4.0469)</f>
        <v>2181.3740554954225</v>
      </c>
      <c r="Q11" s="4">
        <f>10^(LOG10(F11)*3.1556+5.2276)</f>
        <v>1612.489324520164</v>
      </c>
      <c r="R11" s="4" t="s">
        <v>203</v>
      </c>
      <c r="S11" s="4" t="s">
        <v>203</v>
      </c>
      <c r="T11" s="4" t="s">
        <v>203</v>
      </c>
      <c r="U11" s="4" t="s">
        <v>203</v>
      </c>
      <c r="V11" s="4" t="s">
        <v>203</v>
      </c>
      <c r="W11" s="4" t="s">
        <v>203</v>
      </c>
      <c r="X11" s="4">
        <f t="shared" si="12"/>
        <v>1896.9316900077933</v>
      </c>
    </row>
    <row r="12" spans="1:24" ht="20.399999999999999" x14ac:dyDescent="0.35">
      <c r="A12" s="4" t="s">
        <v>80</v>
      </c>
      <c r="B12" s="4" t="s">
        <v>344</v>
      </c>
      <c r="C12" s="4">
        <v>0.34</v>
      </c>
      <c r="D12" s="4">
        <v>0.22700000000000001</v>
      </c>
      <c r="E12" s="4">
        <v>0.34200000000000003</v>
      </c>
      <c r="F12" s="4">
        <v>0.19500000000000001</v>
      </c>
      <c r="G12" s="4">
        <v>0.18099999999999999</v>
      </c>
      <c r="H12" s="4">
        <v>0.32300000000000001</v>
      </c>
      <c r="I12" s="4">
        <v>0.308</v>
      </c>
      <c r="J12" s="4">
        <v>0.36</v>
      </c>
      <c r="K12" s="4">
        <v>0.27800000000000002</v>
      </c>
      <c r="L12" s="4">
        <v>0.28000000000000003</v>
      </c>
      <c r="M12" s="4" t="s">
        <v>345</v>
      </c>
      <c r="N12" s="4">
        <f>10^(LOG10(C12)*2.9617+4.251)</f>
        <v>730.09791569188803</v>
      </c>
      <c r="O12" s="4">
        <f>10^(LOG10(D12)*3.4183+5.3925)</f>
        <v>1553.1134747640967</v>
      </c>
      <c r="P12" s="4">
        <f>10^(LOG10(E12)*2.5684+4.0469)</f>
        <v>708.09683105689771</v>
      </c>
      <c r="Q12" s="4">
        <f>10^(LOG10(F12)*3.1556+5.2276)</f>
        <v>971.03127883358752</v>
      </c>
      <c r="R12" s="4">
        <f>10^(LOG10(G12)*2.7437+4.612)</f>
        <v>376.09079662705324</v>
      </c>
      <c r="S12" s="4">
        <f>10^(LOG10(H12)*2.5219+3.7767)</f>
        <v>345.90579755315025</v>
      </c>
      <c r="T12" s="4">
        <f>10^(LOG10(I12)*2.3601+4.1001)</f>
        <v>781.67918237799313</v>
      </c>
      <c r="U12" s="4">
        <f>10^(LOG10(J12)*2.9436+4.4309)</f>
        <v>1333.0058067385623</v>
      </c>
      <c r="V12" s="4">
        <f>10^(LOG10(K12)*2.0943+3.9879)</f>
        <v>666.1361705862696</v>
      </c>
      <c r="W12" s="4">
        <f>10^(LOG10(L12)*2.9946+4.8402)</f>
        <v>1529.8873042497019</v>
      </c>
      <c r="X12" s="6">
        <f>AVERAGE(N12:W12)</f>
        <v>899.5044558479201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353B-ADE8-4898-A48C-E6C1E736C9B1}">
  <dimension ref="A1:F3"/>
  <sheetViews>
    <sheetView workbookViewId="0"/>
  </sheetViews>
  <sheetFormatPr defaultRowHeight="20.399999999999999" x14ac:dyDescent="0.35"/>
  <cols>
    <col min="1" max="1" width="43.44140625" style="4" bestFit="1" customWidth="1"/>
    <col min="2" max="2" width="26.88671875" style="4" bestFit="1" customWidth="1"/>
    <col min="3" max="3" width="17.109375" style="4" bestFit="1" customWidth="1"/>
    <col min="4" max="4" width="23.33203125" style="4" bestFit="1" customWidth="1"/>
    <col min="5" max="5" width="31.77734375" style="4" bestFit="1" customWidth="1"/>
    <col min="6" max="6" width="8.6640625" style="4" bestFit="1" customWidth="1"/>
    <col min="7" max="16384" width="8.88671875" style="4"/>
  </cols>
  <sheetData>
    <row r="1" spans="1:6" s="5" customFormat="1" x14ac:dyDescent="0.35">
      <c r="A1" s="5" t="s">
        <v>376</v>
      </c>
      <c r="B1" s="5" t="s">
        <v>85</v>
      </c>
      <c r="C1" s="5" t="s">
        <v>188</v>
      </c>
      <c r="D1" s="5" t="s">
        <v>189</v>
      </c>
      <c r="E1" s="5" t="s">
        <v>107</v>
      </c>
      <c r="F1" s="5" t="s">
        <v>83</v>
      </c>
    </row>
    <row r="2" spans="1:6" x14ac:dyDescent="0.35">
      <c r="A2" s="4" t="s">
        <v>4</v>
      </c>
      <c r="B2" s="4" t="s">
        <v>226</v>
      </c>
      <c r="C2" s="4">
        <v>0.64</v>
      </c>
      <c r="D2" s="4">
        <v>27</v>
      </c>
      <c r="E2" s="4" t="s">
        <v>357</v>
      </c>
      <c r="F2" s="6">
        <f>10^(LOG10(C2*D2)*2.8228-0.38)</f>
        <v>1298.1906116078674</v>
      </c>
    </row>
    <row r="3" spans="1:6" x14ac:dyDescent="0.35">
      <c r="A3" s="4" t="s">
        <v>48</v>
      </c>
      <c r="B3" s="4" t="s">
        <v>190</v>
      </c>
      <c r="C3" s="4">
        <v>0.47499999999999998</v>
      </c>
      <c r="D3" s="4">
        <v>26</v>
      </c>
      <c r="E3" s="4" t="s">
        <v>358</v>
      </c>
      <c r="F3" s="6">
        <f>10^(LOG10(C3*D3)*2.8228-0.38)</f>
        <v>502.98784233903922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87FA-94EE-4776-8C0A-92F0AC294035}">
  <dimension ref="A1:H9"/>
  <sheetViews>
    <sheetView workbookViewId="0">
      <selection activeCell="E14" sqref="E14"/>
    </sheetView>
  </sheetViews>
  <sheetFormatPr defaultRowHeight="20.399999999999999" x14ac:dyDescent="0.35"/>
  <cols>
    <col min="1" max="1" width="42" style="4" bestFit="1" customWidth="1"/>
    <col min="2" max="2" width="26.88671875" style="4" bestFit="1" customWidth="1"/>
    <col min="3" max="3" width="17.21875" style="4" bestFit="1" customWidth="1"/>
    <col min="4" max="4" width="59" style="4" customWidth="1"/>
    <col min="5" max="5" width="27.109375" style="4" bestFit="1" customWidth="1"/>
    <col min="6" max="6" width="18.109375" style="4" bestFit="1" customWidth="1"/>
    <col min="7" max="7" width="40.44140625" style="4" bestFit="1" customWidth="1"/>
    <col min="8" max="8" width="12.88671875" style="4" bestFit="1" customWidth="1"/>
    <col min="9" max="16384" width="8.88671875" style="4"/>
  </cols>
  <sheetData>
    <row r="1" spans="1:8" s="5" customFormat="1" x14ac:dyDescent="0.35">
      <c r="A1" s="5" t="s">
        <v>376</v>
      </c>
      <c r="B1" s="5" t="s">
        <v>85</v>
      </c>
      <c r="C1" s="5" t="s">
        <v>188</v>
      </c>
      <c r="D1" s="5" t="s">
        <v>234</v>
      </c>
      <c r="E1" s="5" t="s">
        <v>359</v>
      </c>
      <c r="F1" s="5" t="s">
        <v>235</v>
      </c>
      <c r="G1" s="5" t="s">
        <v>107</v>
      </c>
      <c r="H1" s="5" t="s">
        <v>83</v>
      </c>
    </row>
    <row r="2" spans="1:8" x14ac:dyDescent="0.35">
      <c r="A2" s="4" t="s">
        <v>106</v>
      </c>
      <c r="B2" s="4" t="s">
        <v>233</v>
      </c>
      <c r="C2" s="4">
        <v>1.87</v>
      </c>
      <c r="D2" s="4" t="s">
        <v>236</v>
      </c>
      <c r="E2" s="4">
        <v>1.36</v>
      </c>
      <c r="F2" s="4">
        <v>2149</v>
      </c>
      <c r="G2" s="4" t="s">
        <v>372</v>
      </c>
      <c r="H2" s="6">
        <f>(C2/E2)^3*F2</f>
        <v>5586.560546875</v>
      </c>
    </row>
    <row r="3" spans="1:8" x14ac:dyDescent="0.35">
      <c r="A3" s="4" t="s">
        <v>224</v>
      </c>
      <c r="B3" s="4" t="s">
        <v>347</v>
      </c>
      <c r="C3" s="7">
        <v>1.52</v>
      </c>
      <c r="D3" s="4" t="s">
        <v>240</v>
      </c>
      <c r="E3" s="7">
        <v>2.0089999999999999</v>
      </c>
      <c r="F3" s="4">
        <v>10739</v>
      </c>
      <c r="G3" s="4" t="s">
        <v>371</v>
      </c>
      <c r="H3" s="6">
        <f>(C3/E3)^3*F3</f>
        <v>4651.0905638062377</v>
      </c>
    </row>
    <row r="4" spans="1:8" x14ac:dyDescent="0.35">
      <c r="A4" s="4" t="s">
        <v>232</v>
      </c>
      <c r="B4" s="4" t="s">
        <v>238</v>
      </c>
      <c r="C4" s="7">
        <v>1.1930000000000001</v>
      </c>
      <c r="D4" s="4" t="s">
        <v>240</v>
      </c>
      <c r="E4" s="7">
        <v>2.0089999999999999</v>
      </c>
      <c r="F4" s="4">
        <v>10739</v>
      </c>
      <c r="G4" s="4" t="s">
        <v>373</v>
      </c>
      <c r="H4" s="6">
        <f>(C4/E4)^3*F4</f>
        <v>2248.7716790493878</v>
      </c>
    </row>
    <row r="5" spans="1:8" x14ac:dyDescent="0.35">
      <c r="A5" s="4" t="s">
        <v>225</v>
      </c>
      <c r="B5" s="4" t="s">
        <v>239</v>
      </c>
      <c r="C5" s="7">
        <v>2.1269999999999998</v>
      </c>
      <c r="D5" s="4" t="s">
        <v>240</v>
      </c>
      <c r="E5" s="7">
        <v>2.0089999999999999</v>
      </c>
      <c r="F5" s="4">
        <v>10739</v>
      </c>
      <c r="G5" s="4" t="s">
        <v>374</v>
      </c>
      <c r="H5" s="6">
        <f>(C5/E5)^3*F5</f>
        <v>12744.608584169388</v>
      </c>
    </row>
    <row r="6" spans="1:8" x14ac:dyDescent="0.35">
      <c r="A6" s="4" t="s">
        <v>25</v>
      </c>
      <c r="B6" s="4" t="s">
        <v>360</v>
      </c>
      <c r="C6" s="4">
        <v>1.5</v>
      </c>
      <c r="D6" s="4" t="s">
        <v>237</v>
      </c>
      <c r="E6" s="8">
        <v>1.1200000000000001</v>
      </c>
      <c r="F6" s="7">
        <v>1610</v>
      </c>
      <c r="G6" s="4" t="s">
        <v>375</v>
      </c>
      <c r="H6" s="6">
        <f>(C6/E6)^3*F6</f>
        <v>3867.635921556122</v>
      </c>
    </row>
    <row r="7" spans="1:8" x14ac:dyDescent="0.35">
      <c r="C7" s="7"/>
      <c r="E7" s="7"/>
    </row>
    <row r="8" spans="1:8" x14ac:dyDescent="0.35">
      <c r="D8" s="10" t="s">
        <v>378</v>
      </c>
    </row>
    <row r="9" spans="1:8" x14ac:dyDescent="0.35">
      <c r="D9" s="10" t="s">
        <v>379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8A9-48CC-44E3-B921-29D78B1A689E}">
  <dimension ref="A1:D96"/>
  <sheetViews>
    <sheetView tabSelected="1" workbookViewId="0">
      <selection activeCell="A2" sqref="A2"/>
    </sheetView>
  </sheetViews>
  <sheetFormatPr defaultRowHeight="13.8" x14ac:dyDescent="0.25"/>
  <cols>
    <col min="1" max="1" width="49.5546875" bestFit="1" customWidth="1"/>
    <col min="2" max="2" width="49.109375" bestFit="1" customWidth="1"/>
    <col min="3" max="3" width="27.44140625" bestFit="1" customWidth="1"/>
    <col min="4" max="4" width="19.6640625" bestFit="1" customWidth="1"/>
  </cols>
  <sheetData>
    <row r="1" spans="1:4" s="9" customFormat="1" ht="20.399999999999999" x14ac:dyDescent="0.35">
      <c r="A1" s="5" t="s">
        <v>243</v>
      </c>
      <c r="B1" s="5" t="s">
        <v>81</v>
      </c>
      <c r="C1" s="5" t="s">
        <v>244</v>
      </c>
      <c r="D1" s="5" t="s">
        <v>83</v>
      </c>
    </row>
    <row r="2" spans="1:4" ht="20.399999999999999" x14ac:dyDescent="0.35">
      <c r="A2" s="4" t="s">
        <v>6</v>
      </c>
      <c r="B2" s="4" t="s">
        <v>258</v>
      </c>
      <c r="C2" s="4" t="s">
        <v>245</v>
      </c>
      <c r="D2" s="6">
        <v>250.00676700961745</v>
      </c>
    </row>
    <row r="3" spans="1:4" ht="20.399999999999999" x14ac:dyDescent="0.35">
      <c r="A3" s="4" t="s">
        <v>27</v>
      </c>
      <c r="B3" s="4" t="s">
        <v>259</v>
      </c>
      <c r="C3" s="4" t="s">
        <v>246</v>
      </c>
      <c r="D3" s="6">
        <v>644.19207150664681</v>
      </c>
    </row>
    <row r="4" spans="1:4" ht="20.399999999999999" x14ac:dyDescent="0.35">
      <c r="A4" s="4" t="s">
        <v>5</v>
      </c>
      <c r="B4" s="4" t="s">
        <v>260</v>
      </c>
      <c r="C4" s="4" t="s">
        <v>245</v>
      </c>
      <c r="D4" s="6">
        <v>1039.9082438980106</v>
      </c>
    </row>
    <row r="5" spans="1:4" ht="20.399999999999999" x14ac:dyDescent="0.35">
      <c r="A5" s="4" t="s">
        <v>1</v>
      </c>
      <c r="B5" s="4" t="s">
        <v>261</v>
      </c>
      <c r="C5" s="4" t="s">
        <v>245</v>
      </c>
      <c r="D5" s="6">
        <v>110.92485601205408</v>
      </c>
    </row>
    <row r="6" spans="1:4" ht="20.399999999999999" x14ac:dyDescent="0.35">
      <c r="A6" s="4" t="s">
        <v>24</v>
      </c>
      <c r="B6" s="4" t="s">
        <v>262</v>
      </c>
      <c r="C6" s="4" t="s">
        <v>247</v>
      </c>
      <c r="D6" s="6">
        <v>1610.1312712679792</v>
      </c>
    </row>
    <row r="7" spans="1:4" ht="20.399999999999999" x14ac:dyDescent="0.35">
      <c r="A7" s="4" t="s">
        <v>71</v>
      </c>
      <c r="B7" s="4" t="s">
        <v>263</v>
      </c>
      <c r="C7" s="4" t="s">
        <v>248</v>
      </c>
      <c r="D7" s="6">
        <v>2302.7157737139455</v>
      </c>
    </row>
    <row r="8" spans="1:4" ht="20.399999999999999" x14ac:dyDescent="0.35">
      <c r="A8" s="4" t="s">
        <v>42</v>
      </c>
      <c r="B8" s="4" t="s">
        <v>264</v>
      </c>
      <c r="C8" s="4" t="s">
        <v>249</v>
      </c>
      <c r="D8" s="6">
        <v>1293.3944126500564</v>
      </c>
    </row>
    <row r="9" spans="1:4" ht="20.399999999999999" x14ac:dyDescent="0.35">
      <c r="A9" s="4" t="s">
        <v>120</v>
      </c>
      <c r="B9" s="4" t="s">
        <v>265</v>
      </c>
      <c r="C9" s="4" t="s">
        <v>250</v>
      </c>
      <c r="D9" s="6">
        <v>126.15372704998349</v>
      </c>
    </row>
    <row r="10" spans="1:4" ht="20.399999999999999" x14ac:dyDescent="0.35">
      <c r="A10" s="4" t="s">
        <v>29</v>
      </c>
      <c r="B10" s="4" t="s">
        <v>266</v>
      </c>
      <c r="C10" s="4" t="s">
        <v>250</v>
      </c>
      <c r="D10" s="6">
        <v>319.75040612279849</v>
      </c>
    </row>
    <row r="11" spans="1:4" ht="20.399999999999999" x14ac:dyDescent="0.35">
      <c r="A11" s="4" t="s">
        <v>11</v>
      </c>
      <c r="B11" s="4" t="s">
        <v>267</v>
      </c>
      <c r="C11" s="4" t="s">
        <v>246</v>
      </c>
      <c r="D11" s="6">
        <v>2174.7903348616846</v>
      </c>
    </row>
    <row r="12" spans="1:4" ht="20.399999999999999" x14ac:dyDescent="0.35">
      <c r="A12" s="4" t="s">
        <v>12</v>
      </c>
      <c r="B12" s="4" t="s">
        <v>268</v>
      </c>
      <c r="C12" s="4" t="s">
        <v>246</v>
      </c>
      <c r="D12" s="6">
        <v>241.05483630329994</v>
      </c>
    </row>
    <row r="13" spans="1:4" ht="20.399999999999999" x14ac:dyDescent="0.35">
      <c r="A13" s="4" t="s">
        <v>62</v>
      </c>
      <c r="B13" s="4" t="s">
        <v>269</v>
      </c>
      <c r="C13" s="4" t="s">
        <v>248</v>
      </c>
      <c r="D13" s="6">
        <v>1933.1670474877419</v>
      </c>
    </row>
    <row r="14" spans="1:4" ht="20.399999999999999" x14ac:dyDescent="0.35">
      <c r="A14" s="4" t="s">
        <v>21</v>
      </c>
      <c r="B14" s="4" t="s">
        <v>270</v>
      </c>
      <c r="C14" s="4" t="s">
        <v>251</v>
      </c>
      <c r="D14" s="6">
        <v>125.19382601968421</v>
      </c>
    </row>
    <row r="15" spans="1:4" ht="20.399999999999999" x14ac:dyDescent="0.35">
      <c r="A15" s="4" t="s">
        <v>32</v>
      </c>
      <c r="B15" s="4" t="s">
        <v>271</v>
      </c>
      <c r="C15" s="4" t="s">
        <v>252</v>
      </c>
      <c r="D15" s="6">
        <v>92.184256350864615</v>
      </c>
    </row>
    <row r="16" spans="1:4" ht="20.399999999999999" x14ac:dyDescent="0.35">
      <c r="A16" s="4" t="s">
        <v>33</v>
      </c>
      <c r="B16" s="4" t="s">
        <v>272</v>
      </c>
      <c r="C16" s="4" t="s">
        <v>252</v>
      </c>
      <c r="D16" s="6">
        <v>644.19207150664681</v>
      </c>
    </row>
    <row r="17" spans="1:4" ht="20.399999999999999" x14ac:dyDescent="0.35">
      <c r="A17" s="4" t="s">
        <v>28</v>
      </c>
      <c r="B17" s="4" t="s">
        <v>273</v>
      </c>
      <c r="C17" s="4" t="s">
        <v>250</v>
      </c>
      <c r="D17" s="6">
        <v>122.34301374288886</v>
      </c>
    </row>
    <row r="18" spans="1:4" ht="20.399999999999999" x14ac:dyDescent="0.35">
      <c r="A18" s="4" t="s">
        <v>8</v>
      </c>
      <c r="B18" s="4" t="s">
        <v>274</v>
      </c>
      <c r="C18" s="4" t="s">
        <v>245</v>
      </c>
      <c r="D18" s="6">
        <v>1529.1293420526297</v>
      </c>
    </row>
    <row r="19" spans="1:4" ht="20.399999999999999" x14ac:dyDescent="0.35">
      <c r="A19" s="4" t="s">
        <v>77</v>
      </c>
      <c r="B19" s="4" t="s">
        <v>275</v>
      </c>
      <c r="C19" s="4" t="s">
        <v>248</v>
      </c>
      <c r="D19" s="6">
        <v>10387.160314139577</v>
      </c>
    </row>
    <row r="20" spans="1:4" ht="20.399999999999999" x14ac:dyDescent="0.35">
      <c r="A20" s="4" t="s">
        <v>10</v>
      </c>
      <c r="B20" s="4" t="s">
        <v>276</v>
      </c>
      <c r="C20" s="4" t="s">
        <v>246</v>
      </c>
      <c r="D20" s="6">
        <v>40.254737055965535</v>
      </c>
    </row>
    <row r="21" spans="1:4" ht="20.399999999999999" x14ac:dyDescent="0.35">
      <c r="A21" s="4" t="s">
        <v>52</v>
      </c>
      <c r="B21" s="4" t="s">
        <v>277</v>
      </c>
      <c r="C21" s="4" t="s">
        <v>253</v>
      </c>
      <c r="D21" s="6">
        <v>1331.6471029128363</v>
      </c>
    </row>
    <row r="22" spans="1:4" ht="20.399999999999999" x14ac:dyDescent="0.35">
      <c r="A22" s="4" t="s">
        <v>58</v>
      </c>
      <c r="B22" s="4" t="s">
        <v>278</v>
      </c>
      <c r="C22" s="4" t="s">
        <v>248</v>
      </c>
      <c r="D22" s="6">
        <v>1284.5002517774535</v>
      </c>
    </row>
    <row r="23" spans="1:4" ht="20.399999999999999" x14ac:dyDescent="0.35">
      <c r="A23" s="4" t="s">
        <v>7</v>
      </c>
      <c r="B23" s="4" t="s">
        <v>279</v>
      </c>
      <c r="C23" s="4" t="s">
        <v>245</v>
      </c>
      <c r="D23" s="6">
        <v>2752.4821844484945</v>
      </c>
    </row>
    <row r="24" spans="1:4" ht="20.399999999999999" x14ac:dyDescent="0.35">
      <c r="A24" s="4" t="s">
        <v>61</v>
      </c>
      <c r="B24" s="4" t="s">
        <v>280</v>
      </c>
      <c r="C24" s="4" t="s">
        <v>248</v>
      </c>
      <c r="D24" s="6">
        <v>658.37552044601728</v>
      </c>
    </row>
    <row r="25" spans="1:4" ht="20.399999999999999" x14ac:dyDescent="0.35">
      <c r="A25" s="4" t="s">
        <v>9</v>
      </c>
      <c r="B25" s="4" t="s">
        <v>281</v>
      </c>
      <c r="C25" s="4" t="s">
        <v>245</v>
      </c>
      <c r="D25" s="6">
        <v>2920.6728849915526</v>
      </c>
    </row>
    <row r="26" spans="1:4" ht="20.399999999999999" x14ac:dyDescent="0.35">
      <c r="A26" s="4" t="s">
        <v>56</v>
      </c>
      <c r="B26" s="4" t="s">
        <v>282</v>
      </c>
      <c r="C26" s="4" t="s">
        <v>253</v>
      </c>
      <c r="D26" s="6">
        <v>319.61384137538965</v>
      </c>
    </row>
    <row r="27" spans="1:4" ht="20.399999999999999" x14ac:dyDescent="0.35">
      <c r="A27" s="4" t="s">
        <v>122</v>
      </c>
      <c r="B27" s="4" t="s">
        <v>283</v>
      </c>
      <c r="C27" s="4" t="s">
        <v>253</v>
      </c>
      <c r="D27" s="6">
        <v>701.76975281120917</v>
      </c>
    </row>
    <row r="28" spans="1:4" ht="20.399999999999999" x14ac:dyDescent="0.35">
      <c r="A28" s="4" t="s">
        <v>72</v>
      </c>
      <c r="B28" s="4" t="s">
        <v>284</v>
      </c>
      <c r="C28" s="4" t="s">
        <v>248</v>
      </c>
      <c r="D28" s="6">
        <v>348.32381612942152</v>
      </c>
    </row>
    <row r="29" spans="1:4" ht="20.399999999999999" x14ac:dyDescent="0.35">
      <c r="A29" s="4" t="s">
        <v>70</v>
      </c>
      <c r="B29" s="4" t="s">
        <v>285</v>
      </c>
      <c r="C29" s="4" t="s">
        <v>248</v>
      </c>
      <c r="D29" s="6">
        <v>1844.5752223973834</v>
      </c>
    </row>
    <row r="30" spans="1:4" ht="20.399999999999999" x14ac:dyDescent="0.35">
      <c r="A30" s="4" t="s">
        <v>74</v>
      </c>
      <c r="B30" s="4" t="s">
        <v>286</v>
      </c>
      <c r="C30" s="4" t="s">
        <v>248</v>
      </c>
      <c r="D30" s="6">
        <v>1363.2659565122096</v>
      </c>
    </row>
    <row r="31" spans="1:4" ht="20.399999999999999" x14ac:dyDescent="0.35">
      <c r="A31" s="4" t="s">
        <v>46</v>
      </c>
      <c r="B31" s="4" t="s">
        <v>287</v>
      </c>
      <c r="C31" s="4" t="s">
        <v>254</v>
      </c>
      <c r="D31" s="6">
        <v>216.85008572280597</v>
      </c>
    </row>
    <row r="32" spans="1:4" ht="20.399999999999999" x14ac:dyDescent="0.35">
      <c r="A32" s="4" t="s">
        <v>20</v>
      </c>
      <c r="B32" s="4" t="s">
        <v>288</v>
      </c>
      <c r="C32" s="4" t="s">
        <v>247</v>
      </c>
      <c r="D32" s="6">
        <v>857.0456634273263</v>
      </c>
    </row>
    <row r="33" spans="1:4" ht="20.399999999999999" x14ac:dyDescent="0.35">
      <c r="A33" s="4" t="s">
        <v>37</v>
      </c>
      <c r="B33" s="4" t="s">
        <v>289</v>
      </c>
      <c r="C33" s="4" t="s">
        <v>249</v>
      </c>
      <c r="D33" s="6">
        <v>1214.7534945012069</v>
      </c>
    </row>
    <row r="34" spans="1:4" ht="20.399999999999999" x14ac:dyDescent="0.35">
      <c r="A34" s="4" t="s">
        <v>76</v>
      </c>
      <c r="B34" s="4" t="s">
        <v>290</v>
      </c>
      <c r="C34" s="4" t="s">
        <v>248</v>
      </c>
      <c r="D34" s="6">
        <v>1346.9664421609668</v>
      </c>
    </row>
    <row r="35" spans="1:4" ht="20.399999999999999" x14ac:dyDescent="0.35">
      <c r="A35" s="4" t="s">
        <v>43</v>
      </c>
      <c r="B35" s="4" t="s">
        <v>291</v>
      </c>
      <c r="C35" s="4" t="s">
        <v>249</v>
      </c>
      <c r="D35" s="6">
        <v>640.53198091382012</v>
      </c>
    </row>
    <row r="36" spans="1:4" ht="20.399999999999999" x14ac:dyDescent="0.35">
      <c r="A36" s="4" t="s">
        <v>49</v>
      </c>
      <c r="B36" s="4" t="s">
        <v>292</v>
      </c>
      <c r="C36" s="4" t="s">
        <v>253</v>
      </c>
      <c r="D36" s="6">
        <v>589.44729364087164</v>
      </c>
    </row>
    <row r="37" spans="1:4" ht="20.399999999999999" x14ac:dyDescent="0.35">
      <c r="A37" s="4" t="s">
        <v>38</v>
      </c>
      <c r="B37" s="4" t="s">
        <v>293</v>
      </c>
      <c r="C37" s="4" t="s">
        <v>249</v>
      </c>
      <c r="D37" s="6">
        <v>592.63855093989753</v>
      </c>
    </row>
    <row r="38" spans="1:4" ht="20.399999999999999" x14ac:dyDescent="0.35">
      <c r="A38" s="4" t="s">
        <v>39</v>
      </c>
      <c r="B38" s="4" t="s">
        <v>294</v>
      </c>
      <c r="C38" s="4" t="s">
        <v>249</v>
      </c>
      <c r="D38" s="6">
        <v>153.52473208504105</v>
      </c>
    </row>
    <row r="39" spans="1:4" ht="20.399999999999999" x14ac:dyDescent="0.35">
      <c r="A39" s="4" t="s">
        <v>18</v>
      </c>
      <c r="B39" s="4" t="s">
        <v>295</v>
      </c>
      <c r="C39" s="4" t="s">
        <v>247</v>
      </c>
      <c r="D39" s="6">
        <v>1562.4023178733128</v>
      </c>
    </row>
    <row r="40" spans="1:4" ht="20.399999999999999" x14ac:dyDescent="0.35">
      <c r="A40" s="4" t="s">
        <v>55</v>
      </c>
      <c r="B40" s="4" t="s">
        <v>355</v>
      </c>
      <c r="C40" s="4" t="s">
        <v>253</v>
      </c>
      <c r="D40" s="6">
        <v>314.52694308788722</v>
      </c>
    </row>
    <row r="41" spans="1:4" ht="20.399999999999999" x14ac:dyDescent="0.35">
      <c r="A41" s="4" t="s">
        <v>51</v>
      </c>
      <c r="B41" s="4" t="s">
        <v>296</v>
      </c>
      <c r="C41" s="4" t="s">
        <v>253</v>
      </c>
      <c r="D41" s="6">
        <v>1308.3295736943462</v>
      </c>
    </row>
    <row r="42" spans="1:4" ht="20.399999999999999" x14ac:dyDescent="0.35">
      <c r="A42" s="4" t="s">
        <v>36</v>
      </c>
      <c r="B42" s="4" t="s">
        <v>297</v>
      </c>
      <c r="C42" s="4" t="s">
        <v>249</v>
      </c>
      <c r="D42" s="6">
        <v>208.7311291869317</v>
      </c>
    </row>
    <row r="43" spans="1:4" ht="20.399999999999999" x14ac:dyDescent="0.35">
      <c r="A43" s="4" t="s">
        <v>170</v>
      </c>
      <c r="B43" s="4" t="s">
        <v>298</v>
      </c>
      <c r="C43" s="4" t="s">
        <v>255</v>
      </c>
      <c r="D43" s="6">
        <v>542.34097306007163</v>
      </c>
    </row>
    <row r="44" spans="1:4" ht="20.399999999999999" x14ac:dyDescent="0.35">
      <c r="A44" s="4" t="s">
        <v>65</v>
      </c>
      <c r="B44" s="4" t="s">
        <v>299</v>
      </c>
      <c r="C44" s="4" t="s">
        <v>248</v>
      </c>
      <c r="D44" s="6">
        <v>446.94273554906448</v>
      </c>
    </row>
    <row r="45" spans="1:4" ht="20.399999999999999" x14ac:dyDescent="0.35">
      <c r="A45" s="4" t="s">
        <v>79</v>
      </c>
      <c r="B45" s="4" t="s">
        <v>300</v>
      </c>
      <c r="C45" s="4" t="s">
        <v>248</v>
      </c>
      <c r="D45" s="6">
        <v>3053.5138109335267</v>
      </c>
    </row>
    <row r="46" spans="1:4" ht="20.399999999999999" x14ac:dyDescent="0.35">
      <c r="A46" s="4" t="s">
        <v>40</v>
      </c>
      <c r="B46" s="4" t="s">
        <v>301</v>
      </c>
      <c r="C46" s="4" t="s">
        <v>249</v>
      </c>
      <c r="D46" s="6">
        <v>311.14137752268101</v>
      </c>
    </row>
    <row r="47" spans="1:4" ht="20.399999999999999" x14ac:dyDescent="0.35">
      <c r="A47" s="4" t="s">
        <v>45</v>
      </c>
      <c r="B47" s="4" t="s">
        <v>302</v>
      </c>
      <c r="C47" s="4" t="s">
        <v>254</v>
      </c>
      <c r="D47" s="6">
        <v>156.95126123828641</v>
      </c>
    </row>
    <row r="48" spans="1:4" ht="20.399999999999999" x14ac:dyDescent="0.35">
      <c r="A48" s="4" t="s">
        <v>67</v>
      </c>
      <c r="B48" s="4" t="s">
        <v>303</v>
      </c>
      <c r="C48" s="4" t="s">
        <v>248</v>
      </c>
      <c r="D48" s="6">
        <v>3892.9480284974525</v>
      </c>
    </row>
    <row r="49" spans="1:4" ht="20.399999999999999" x14ac:dyDescent="0.35">
      <c r="A49" s="4" t="s">
        <v>41</v>
      </c>
      <c r="B49" s="4" t="s">
        <v>304</v>
      </c>
      <c r="C49" s="4" t="s">
        <v>249</v>
      </c>
      <c r="D49" s="6">
        <v>1534.2744233508558</v>
      </c>
    </row>
    <row r="50" spans="1:4" ht="20.399999999999999" x14ac:dyDescent="0.35">
      <c r="A50" s="4" t="s">
        <v>19</v>
      </c>
      <c r="B50" s="4" t="s">
        <v>305</v>
      </c>
      <c r="C50" s="4" t="s">
        <v>247</v>
      </c>
      <c r="D50" s="6">
        <v>2415.5773741929775</v>
      </c>
    </row>
    <row r="51" spans="1:4" ht="20.399999999999999" x14ac:dyDescent="0.35">
      <c r="A51" s="4" t="s">
        <v>47</v>
      </c>
      <c r="B51" s="4" t="s">
        <v>306</v>
      </c>
      <c r="C51" s="4" t="s">
        <v>256</v>
      </c>
      <c r="D51" s="6">
        <v>349.01488426260892</v>
      </c>
    </row>
    <row r="52" spans="1:4" ht="20.399999999999999" x14ac:dyDescent="0.35">
      <c r="A52" s="4" t="s">
        <v>59</v>
      </c>
      <c r="B52" s="4" t="s">
        <v>307</v>
      </c>
      <c r="C52" s="4" t="s">
        <v>248</v>
      </c>
      <c r="D52" s="6">
        <v>3134.2208985835214</v>
      </c>
    </row>
    <row r="53" spans="1:4" ht="20.399999999999999" x14ac:dyDescent="0.35">
      <c r="A53" s="4" t="s">
        <v>0</v>
      </c>
      <c r="B53" s="4" t="s">
        <v>308</v>
      </c>
      <c r="C53" s="4" t="s">
        <v>245</v>
      </c>
      <c r="D53" s="4">
        <v>604</v>
      </c>
    </row>
    <row r="54" spans="1:4" ht="20.399999999999999" x14ac:dyDescent="0.35">
      <c r="A54" s="4" t="s">
        <v>3</v>
      </c>
      <c r="B54" s="4" t="s">
        <v>309</v>
      </c>
      <c r="C54" s="4" t="s">
        <v>245</v>
      </c>
      <c r="D54" s="4">
        <v>374</v>
      </c>
    </row>
    <row r="55" spans="1:4" ht="20.399999999999999" x14ac:dyDescent="0.35">
      <c r="A55" s="4" t="s">
        <v>14</v>
      </c>
      <c r="B55" s="4" t="s">
        <v>310</v>
      </c>
      <c r="C55" s="4" t="s">
        <v>247</v>
      </c>
      <c r="D55" s="4">
        <v>1035</v>
      </c>
    </row>
    <row r="56" spans="1:4" ht="20.399999999999999" x14ac:dyDescent="0.35">
      <c r="A56" s="4" t="s">
        <v>16</v>
      </c>
      <c r="B56" s="4" t="s">
        <v>311</v>
      </c>
      <c r="C56" s="4" t="s">
        <v>247</v>
      </c>
      <c r="D56" s="4">
        <v>10893</v>
      </c>
    </row>
    <row r="57" spans="1:4" ht="20.399999999999999" x14ac:dyDescent="0.35">
      <c r="A57" s="4" t="s">
        <v>22</v>
      </c>
      <c r="B57" s="4" t="s">
        <v>312</v>
      </c>
      <c r="C57" s="4" t="s">
        <v>247</v>
      </c>
      <c r="D57" s="4">
        <v>1795</v>
      </c>
    </row>
    <row r="58" spans="1:4" ht="20.399999999999999" x14ac:dyDescent="0.35">
      <c r="A58" s="4" t="s">
        <v>23</v>
      </c>
      <c r="B58" s="4" t="s">
        <v>313</v>
      </c>
      <c r="C58" s="4" t="s">
        <v>247</v>
      </c>
      <c r="D58" s="4">
        <v>11396</v>
      </c>
    </row>
    <row r="59" spans="1:4" ht="20.399999999999999" x14ac:dyDescent="0.35">
      <c r="A59" s="4" t="s">
        <v>26</v>
      </c>
      <c r="B59" s="4" t="s">
        <v>314</v>
      </c>
      <c r="C59" s="4" t="s">
        <v>247</v>
      </c>
      <c r="D59" s="4">
        <v>12824</v>
      </c>
    </row>
    <row r="60" spans="1:4" ht="20.399999999999999" x14ac:dyDescent="0.35">
      <c r="A60" s="4" t="s">
        <v>30</v>
      </c>
      <c r="B60" s="4" t="s">
        <v>315</v>
      </c>
      <c r="C60" s="4" t="s">
        <v>252</v>
      </c>
      <c r="D60" s="4">
        <v>199</v>
      </c>
    </row>
    <row r="61" spans="1:4" ht="20.399999999999999" x14ac:dyDescent="0.35">
      <c r="A61" s="4" t="s">
        <v>31</v>
      </c>
      <c r="B61" s="4" t="s">
        <v>316</v>
      </c>
      <c r="C61" s="4" t="s">
        <v>252</v>
      </c>
      <c r="D61" s="4">
        <v>223</v>
      </c>
    </row>
    <row r="62" spans="1:4" ht="20.399999999999999" x14ac:dyDescent="0.35">
      <c r="A62" s="4" t="s">
        <v>34</v>
      </c>
      <c r="B62" s="4" t="s">
        <v>317</v>
      </c>
      <c r="C62" s="4" t="s">
        <v>250</v>
      </c>
      <c r="D62" s="4">
        <v>131</v>
      </c>
    </row>
    <row r="63" spans="1:4" ht="20.399999999999999" x14ac:dyDescent="0.35">
      <c r="A63" s="4" t="s">
        <v>35</v>
      </c>
      <c r="B63" s="4" t="s">
        <v>318</v>
      </c>
      <c r="C63" s="4" t="s">
        <v>249</v>
      </c>
      <c r="D63" s="4">
        <v>360</v>
      </c>
    </row>
    <row r="64" spans="1:4" ht="20.399999999999999" x14ac:dyDescent="0.35">
      <c r="A64" s="4" t="s">
        <v>44</v>
      </c>
      <c r="B64" s="4" t="s">
        <v>319</v>
      </c>
      <c r="C64" s="4" t="s">
        <v>249</v>
      </c>
      <c r="D64" s="4">
        <v>1238</v>
      </c>
    </row>
    <row r="65" spans="1:4" ht="20.399999999999999" x14ac:dyDescent="0.35">
      <c r="A65" s="4" t="s">
        <v>50</v>
      </c>
      <c r="B65" s="4" t="s">
        <v>320</v>
      </c>
      <c r="C65" s="4" t="s">
        <v>253</v>
      </c>
      <c r="D65" s="4">
        <v>1039</v>
      </c>
    </row>
    <row r="66" spans="1:4" ht="20.399999999999999" x14ac:dyDescent="0.35">
      <c r="A66" s="4" t="s">
        <v>53</v>
      </c>
      <c r="B66" s="4" t="s">
        <v>321</v>
      </c>
      <c r="C66" s="4" t="s">
        <v>253</v>
      </c>
      <c r="D66" s="4">
        <v>425</v>
      </c>
    </row>
    <row r="67" spans="1:4" ht="20.399999999999999" x14ac:dyDescent="0.35">
      <c r="A67" s="4" t="s">
        <v>54</v>
      </c>
      <c r="B67" s="4" t="s">
        <v>322</v>
      </c>
      <c r="C67" s="4" t="s">
        <v>253</v>
      </c>
      <c r="D67" s="4">
        <v>1272</v>
      </c>
    </row>
    <row r="68" spans="1:4" ht="20.399999999999999" x14ac:dyDescent="0.35">
      <c r="A68" s="4" t="s">
        <v>63</v>
      </c>
      <c r="B68" s="4" t="s">
        <v>323</v>
      </c>
      <c r="C68" s="4" t="s">
        <v>248</v>
      </c>
      <c r="D68" s="4">
        <v>4166</v>
      </c>
    </row>
    <row r="69" spans="1:4" ht="20.399999999999999" x14ac:dyDescent="0.35">
      <c r="A69" s="4" t="s">
        <v>64</v>
      </c>
      <c r="B69" s="4" t="s">
        <v>324</v>
      </c>
      <c r="C69" s="4" t="s">
        <v>248</v>
      </c>
      <c r="D69" s="4">
        <v>3107</v>
      </c>
    </row>
    <row r="70" spans="1:4" ht="20.399999999999999" x14ac:dyDescent="0.35">
      <c r="A70" s="4" t="s">
        <v>66</v>
      </c>
      <c r="B70" s="4" t="s">
        <v>325</v>
      </c>
      <c r="C70" s="4" t="s">
        <v>248</v>
      </c>
      <c r="D70" s="4">
        <v>839</v>
      </c>
    </row>
    <row r="71" spans="1:4" ht="20.399999999999999" x14ac:dyDescent="0.35">
      <c r="A71" s="4" t="s">
        <v>68</v>
      </c>
      <c r="B71" s="4" t="s">
        <v>326</v>
      </c>
      <c r="C71" s="4" t="s">
        <v>248</v>
      </c>
      <c r="D71" s="4">
        <v>1877</v>
      </c>
    </row>
    <row r="72" spans="1:4" ht="20.399999999999999" x14ac:dyDescent="0.35">
      <c r="A72" s="4" t="s">
        <v>75</v>
      </c>
      <c r="B72" s="4" t="s">
        <v>327</v>
      </c>
      <c r="C72" s="4" t="s">
        <v>248</v>
      </c>
      <c r="D72" s="4">
        <v>6791</v>
      </c>
    </row>
    <row r="73" spans="1:4" ht="20.399999999999999" x14ac:dyDescent="0.35">
      <c r="A73" s="4" t="s">
        <v>78</v>
      </c>
      <c r="B73" s="4" t="s">
        <v>328</v>
      </c>
      <c r="C73" s="4" t="s">
        <v>248</v>
      </c>
      <c r="D73" s="4">
        <v>3080</v>
      </c>
    </row>
    <row r="74" spans="1:4" ht="20.399999999999999" x14ac:dyDescent="0.35">
      <c r="A74" s="4" t="s">
        <v>60</v>
      </c>
      <c r="B74" s="4" t="s">
        <v>329</v>
      </c>
      <c r="C74" s="4" t="s">
        <v>248</v>
      </c>
      <c r="D74" s="6">
        <v>1102.7997955774163</v>
      </c>
    </row>
    <row r="75" spans="1:4" ht="20.399999999999999" x14ac:dyDescent="0.35">
      <c r="A75" s="4" t="s">
        <v>13</v>
      </c>
      <c r="B75" s="4" t="s">
        <v>330</v>
      </c>
      <c r="C75" s="4" t="s">
        <v>246</v>
      </c>
      <c r="D75" s="6">
        <v>1234.6658950240321</v>
      </c>
    </row>
    <row r="76" spans="1:4" ht="20.399999999999999" x14ac:dyDescent="0.35">
      <c r="A76" s="4" t="s">
        <v>2</v>
      </c>
      <c r="B76" s="4" t="s">
        <v>331</v>
      </c>
      <c r="C76" s="4" t="s">
        <v>245</v>
      </c>
      <c r="D76" s="6">
        <v>633.24619901002256</v>
      </c>
    </row>
    <row r="77" spans="1:4" ht="20.399999999999999" x14ac:dyDescent="0.35">
      <c r="A77" s="4" t="s">
        <v>15</v>
      </c>
      <c r="B77" s="4" t="s">
        <v>332</v>
      </c>
      <c r="C77" s="4" t="s">
        <v>247</v>
      </c>
      <c r="D77" s="6">
        <v>2407.5692758239629</v>
      </c>
    </row>
    <row r="78" spans="1:4" ht="20.399999999999999" x14ac:dyDescent="0.35">
      <c r="A78" s="4" t="s">
        <v>207</v>
      </c>
      <c r="B78" s="4" t="s">
        <v>333</v>
      </c>
      <c r="C78" s="4" t="s">
        <v>248</v>
      </c>
      <c r="D78" s="6">
        <v>1068.9064645330047</v>
      </c>
    </row>
    <row r="79" spans="1:4" ht="20.399999999999999" x14ac:dyDescent="0.35">
      <c r="A79" s="4" t="s">
        <v>57</v>
      </c>
      <c r="B79" s="4" t="s">
        <v>334</v>
      </c>
      <c r="C79" s="4" t="s">
        <v>253</v>
      </c>
      <c r="D79" s="6">
        <v>1608.7571671213277</v>
      </c>
    </row>
    <row r="80" spans="1:4" ht="20.399999999999999" x14ac:dyDescent="0.35">
      <c r="A80" s="4" t="s">
        <v>73</v>
      </c>
      <c r="B80" s="4" t="s">
        <v>335</v>
      </c>
      <c r="C80" s="4" t="s">
        <v>248</v>
      </c>
      <c r="D80" s="6">
        <v>1432.6940503733845</v>
      </c>
    </row>
    <row r="81" spans="1:4" ht="20.399999999999999" x14ac:dyDescent="0.35">
      <c r="A81" s="4" t="s">
        <v>69</v>
      </c>
      <c r="B81" s="4" t="s">
        <v>336</v>
      </c>
      <c r="C81" s="4" t="s">
        <v>248</v>
      </c>
      <c r="D81" s="6">
        <v>1216.2439467676877</v>
      </c>
    </row>
    <row r="82" spans="1:4" ht="20.399999999999999" x14ac:dyDescent="0.35">
      <c r="A82" s="4" t="s">
        <v>4</v>
      </c>
      <c r="B82" s="4" t="s">
        <v>337</v>
      </c>
      <c r="C82" s="4" t="s">
        <v>245</v>
      </c>
      <c r="D82" s="6">
        <v>1298.1906116078674</v>
      </c>
    </row>
    <row r="83" spans="1:4" ht="20.399999999999999" x14ac:dyDescent="0.35">
      <c r="A83" s="4" t="s">
        <v>48</v>
      </c>
      <c r="B83" s="4" t="s">
        <v>338</v>
      </c>
      <c r="C83" s="4" t="s">
        <v>253</v>
      </c>
      <c r="D83" s="6">
        <v>502.98784233903922</v>
      </c>
    </row>
    <row r="84" spans="1:4" ht="20.399999999999999" x14ac:dyDescent="0.35">
      <c r="A84" s="4" t="s">
        <v>106</v>
      </c>
      <c r="B84" s="4" t="s">
        <v>339</v>
      </c>
      <c r="C84" s="4" t="s">
        <v>247</v>
      </c>
      <c r="D84" s="6">
        <v>5586.560546875</v>
      </c>
    </row>
    <row r="85" spans="1:4" ht="20.399999999999999" x14ac:dyDescent="0.35">
      <c r="A85" s="4" t="s">
        <v>224</v>
      </c>
      <c r="B85" s="4" t="s">
        <v>340</v>
      </c>
      <c r="C85" s="4" t="s">
        <v>247</v>
      </c>
      <c r="D85" s="6">
        <v>4651.0905638062377</v>
      </c>
    </row>
    <row r="86" spans="1:4" ht="20.399999999999999" x14ac:dyDescent="0.35">
      <c r="A86" s="4" t="s">
        <v>232</v>
      </c>
      <c r="B86" s="4" t="s">
        <v>341</v>
      </c>
      <c r="C86" s="4" t="s">
        <v>247</v>
      </c>
      <c r="D86" s="6">
        <v>2248.7716790493878</v>
      </c>
    </row>
    <row r="87" spans="1:4" ht="20.399999999999999" x14ac:dyDescent="0.35">
      <c r="A87" s="4" t="s">
        <v>225</v>
      </c>
      <c r="B87" s="4" t="s">
        <v>342</v>
      </c>
      <c r="C87" s="4" t="s">
        <v>247</v>
      </c>
      <c r="D87" s="6">
        <v>12744.608584169388</v>
      </c>
    </row>
    <row r="88" spans="1:4" ht="20.399999999999999" x14ac:dyDescent="0.35">
      <c r="A88" s="4" t="s">
        <v>25</v>
      </c>
      <c r="B88" s="4" t="s">
        <v>343</v>
      </c>
      <c r="C88" s="4" t="s">
        <v>247</v>
      </c>
      <c r="D88" s="6">
        <v>3867.635921556122</v>
      </c>
    </row>
    <row r="89" spans="1:4" ht="20.399999999999999" x14ac:dyDescent="0.35">
      <c r="A89" s="4" t="s">
        <v>80</v>
      </c>
      <c r="B89" s="4" t="s">
        <v>346</v>
      </c>
      <c r="C89" s="4" t="s">
        <v>248</v>
      </c>
      <c r="D89" s="6">
        <v>899.5044558479201</v>
      </c>
    </row>
    <row r="90" spans="1:4" ht="20.399999999999999" x14ac:dyDescent="0.35">
      <c r="A90" s="4" t="s">
        <v>17</v>
      </c>
      <c r="B90" s="4" t="s">
        <v>17</v>
      </c>
      <c r="C90" s="4" t="s">
        <v>247</v>
      </c>
      <c r="D90" s="6">
        <v>1896.9316900077933</v>
      </c>
    </row>
    <row r="94" spans="1:4" ht="17.399999999999999" x14ac:dyDescent="0.3">
      <c r="A94" s="2"/>
      <c r="B94" s="2"/>
      <c r="D94" s="3"/>
    </row>
    <row r="95" spans="1:4" x14ac:dyDescent="0.25">
      <c r="D95" s="3"/>
    </row>
    <row r="96" spans="1:4" ht="17.399999999999999" x14ac:dyDescent="0.3">
      <c r="B96" s="1"/>
      <c r="D9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trunk</vt:lpstr>
      <vt:lpstr>vertebrae</vt:lpstr>
      <vt:lpstr>model</vt:lpstr>
      <vt:lpstr>limbs &amp; girdles</vt:lpstr>
      <vt:lpstr>skull-neck</vt:lpstr>
      <vt:lpstr>other thalassophoneans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Pliosaurus kevani</dc:creator>
  <cp:lastModifiedBy>睿哲 赵</cp:lastModifiedBy>
  <dcterms:created xsi:type="dcterms:W3CDTF">2015-06-05T18:19:34Z</dcterms:created>
  <dcterms:modified xsi:type="dcterms:W3CDTF">2026-06-17T08:51:26Z</dcterms:modified>
</cp:coreProperties>
</file>